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Override PartName="/xl/activeX/activeX3.bin" ContentType="application/vnd.ms-office.activeX"/>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customXml/itemProps1.xml" ContentType="application/vnd.openxmlformats-officedocument.customXmlProperties+xml"/>
  <Override PartName="/xl/worksheets/sheet6.xml" ContentType="application/vnd.openxmlformats-officedocument.spreadsheetml.worksheet+xml"/>
  <Default Extension="jpeg" ContentType="image/jpeg"/>
  <Default Extension="emf" ContentType="image/x-emf"/>
  <Override PartName="/xl/drawings/drawing4.xml" ContentType="application/vnd.openxmlformats-officedocument.drawing+xml"/>
  <Default Extension="wmf" ContentType="image/x-w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drawings/drawing2.xml" ContentType="application/vnd.openxmlformats-officedocument.drawing+xml"/>
  <Override PartName="/xl/drawings/drawing3.xml" ContentType="application/vnd.openxmlformats-officedocument.drawing+xml"/>
  <Override PartName="/xl/activeX/activeX3.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Default Extension="gif" ContentType="image/gi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saveExternalLinkValues="0" codeName="ThisWorkbook"/>
  <bookViews>
    <workbookView xWindow="-105" yWindow="-105" windowWidth="19425" windowHeight="10305" tabRatio="819" firstSheet="1" activeTab="1"/>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2451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14" i="1"/>
  <c r="K119" i="2"/>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O22" i="3"/>
  <c r="O20"/>
  <c r="BK8" i="1" l="1"/>
  <c r="BK9"/>
  <c r="BK10"/>
  <c r="BK11"/>
  <c r="BK12"/>
  <c r="BK13"/>
  <c r="BK14"/>
  <c r="BK15"/>
  <c r="BK16"/>
  <c r="BK17"/>
  <c r="BK18"/>
  <c r="BK19"/>
  <c r="BK20"/>
  <c r="BK21"/>
  <c r="BK22"/>
  <c r="BK23"/>
  <c r="BK24"/>
  <c r="BK25"/>
  <c r="BK26"/>
  <c r="BK27"/>
  <c r="BK28"/>
  <c r="BK29"/>
  <c r="BK30"/>
  <c r="BK31"/>
  <c r="BK32"/>
  <c r="BK33"/>
  <c r="BK34"/>
  <c r="BK35"/>
  <c r="BK36"/>
  <c r="BK37"/>
  <c r="BK38"/>
  <c r="BK39"/>
  <c r="BK40"/>
  <c r="BK41"/>
  <c r="BK42"/>
  <c r="BK43"/>
  <c r="BK44"/>
  <c r="BK45"/>
  <c r="BK46"/>
  <c r="BK3"/>
  <c r="BK4"/>
  <c r="BK5"/>
  <c r="BK6"/>
  <c r="BK7"/>
  <c r="AG17"/>
  <c r="AG18"/>
  <c r="H60"/>
  <c r="X60" s="1"/>
  <c r="U60" s="1"/>
  <c r="V60" s="1"/>
  <c r="H61"/>
  <c r="X61" s="1"/>
  <c r="U61" s="1"/>
  <c r="V61" s="1"/>
  <c r="H62"/>
  <c r="H63"/>
  <c r="H64"/>
  <c r="X64" s="1"/>
  <c r="U64" s="1"/>
  <c r="V64" s="1"/>
  <c r="H65"/>
  <c r="X65" s="1"/>
  <c r="U65" s="1"/>
  <c r="V65" s="1"/>
  <c r="H66"/>
  <c r="X66" s="1"/>
  <c r="U66" s="1"/>
  <c r="V66" s="1"/>
  <c r="H67"/>
  <c r="X67" s="1"/>
  <c r="U67" s="1"/>
  <c r="V67" s="1"/>
  <c r="H68"/>
  <c r="X68" s="1"/>
  <c r="U68" s="1"/>
  <c r="V68" s="1"/>
  <c r="H69"/>
  <c r="X69" s="1"/>
  <c r="U69" s="1"/>
  <c r="V69" s="1"/>
  <c r="H70"/>
  <c r="H71"/>
  <c r="H72"/>
  <c r="X72" s="1"/>
  <c r="U72" s="1"/>
  <c r="V72" s="1"/>
  <c r="H73"/>
  <c r="X73" s="1"/>
  <c r="U73" s="1"/>
  <c r="V73" s="1"/>
  <c r="H74"/>
  <c r="H75"/>
  <c r="H76"/>
  <c r="H77"/>
  <c r="H78"/>
  <c r="H79"/>
  <c r="H80"/>
  <c r="H81"/>
  <c r="H82"/>
  <c r="H83"/>
  <c r="H84"/>
  <c r="H85"/>
  <c r="H86"/>
  <c r="H87"/>
  <c r="H88"/>
  <c r="H89"/>
  <c r="H90"/>
  <c r="H91"/>
  <c r="X91" s="1"/>
  <c r="U91" s="1"/>
  <c r="V91" s="1"/>
  <c r="H92"/>
  <c r="X92" s="1"/>
  <c r="U92" s="1"/>
  <c r="V92" s="1"/>
  <c r="H93"/>
  <c r="X93" s="1"/>
  <c r="U93" s="1"/>
  <c r="V93" s="1"/>
  <c r="H94"/>
  <c r="X94" s="1"/>
  <c r="U94" s="1"/>
  <c r="V94" s="1"/>
  <c r="H95"/>
  <c r="H96"/>
  <c r="X96" s="1"/>
  <c r="U96" s="1"/>
  <c r="V96" s="1"/>
  <c r="H97"/>
  <c r="X97" s="1"/>
  <c r="U97" s="1"/>
  <c r="V97" s="1"/>
  <c r="H98"/>
  <c r="H99"/>
  <c r="X99" s="1"/>
  <c r="U99" s="1"/>
  <c r="V99" s="1"/>
  <c r="H100"/>
  <c r="X100" s="1"/>
  <c r="U100" s="1"/>
  <c r="V100" s="1"/>
  <c r="H101"/>
  <c r="X101" s="1"/>
  <c r="U101" s="1"/>
  <c r="V101" s="1"/>
  <c r="H102"/>
  <c r="H103"/>
  <c r="H104"/>
  <c r="X104" s="1"/>
  <c r="U104" s="1"/>
  <c r="V104" s="1"/>
  <c r="H105"/>
  <c r="X105" s="1"/>
  <c r="U105" s="1"/>
  <c r="V105" s="1"/>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6"/>
  <c r="H147"/>
  <c r="H148"/>
  <c r="H149"/>
  <c r="H150"/>
  <c r="H151"/>
  <c r="H152"/>
  <c r="H153"/>
  <c r="H154"/>
  <c r="H155"/>
  <c r="H156"/>
  <c r="H157"/>
  <c r="H158"/>
  <c r="H159"/>
  <c r="H160"/>
  <c r="H161"/>
  <c r="H162"/>
  <c r="H163"/>
  <c r="H164"/>
  <c r="H165"/>
  <c r="H166"/>
  <c r="H167"/>
  <c r="H168"/>
  <c r="H169"/>
  <c r="H170"/>
  <c r="H171"/>
  <c r="H172"/>
  <c r="H173"/>
  <c r="H174"/>
  <c r="H175"/>
  <c r="H176"/>
  <c r="H177"/>
  <c r="H178"/>
  <c r="H179"/>
  <c r="H180"/>
  <c r="X180" s="1"/>
  <c r="U180" s="1"/>
  <c r="V180" s="1"/>
  <c r="H181"/>
  <c r="X181" s="1"/>
  <c r="U181" s="1"/>
  <c r="V181" s="1"/>
  <c r="H182"/>
  <c r="H183"/>
  <c r="X183" s="1"/>
  <c r="U183" s="1"/>
  <c r="V183" s="1"/>
  <c r="H184"/>
  <c r="X184" s="1"/>
  <c r="U184" s="1"/>
  <c r="V184" s="1"/>
  <c r="H185"/>
  <c r="X185" s="1"/>
  <c r="U185" s="1"/>
  <c r="V185" s="1"/>
  <c r="H186"/>
  <c r="H187"/>
  <c r="X187" s="1"/>
  <c r="U187" s="1"/>
  <c r="V187" s="1"/>
  <c r="H188"/>
  <c r="X188" s="1"/>
  <c r="U188" s="1"/>
  <c r="V188" s="1"/>
  <c r="H189"/>
  <c r="X189" s="1"/>
  <c r="U189" s="1"/>
  <c r="V189" s="1"/>
  <c r="H190"/>
  <c r="X190" s="1"/>
  <c r="U190" s="1"/>
  <c r="V190" s="1"/>
  <c r="H191"/>
  <c r="X191" s="1"/>
  <c r="U191" s="1"/>
  <c r="V191" s="1"/>
  <c r="H192"/>
  <c r="X192" s="1"/>
  <c r="U192" s="1"/>
  <c r="V192" s="1"/>
  <c r="H193"/>
  <c r="X193" s="1"/>
  <c r="U193" s="1"/>
  <c r="V193" s="1"/>
  <c r="H41"/>
  <c r="H42"/>
  <c r="X42" s="1"/>
  <c r="U42" s="1"/>
  <c r="V42" s="1"/>
  <c r="H43"/>
  <c r="X43" s="1"/>
  <c r="U43" s="1"/>
  <c r="V43" s="1"/>
  <c r="H44"/>
  <c r="X44" s="1"/>
  <c r="U44" s="1"/>
  <c r="V44" s="1"/>
  <c r="H45"/>
  <c r="X45" s="1"/>
  <c r="U45" s="1"/>
  <c r="V45" s="1"/>
  <c r="H46"/>
  <c r="H47"/>
  <c r="X47" s="1"/>
  <c r="U47" s="1"/>
  <c r="V47" s="1"/>
  <c r="H48"/>
  <c r="X48" s="1"/>
  <c r="U48" s="1"/>
  <c r="V48" s="1"/>
  <c r="H49"/>
  <c r="H50"/>
  <c r="X50" s="1"/>
  <c r="U50" s="1"/>
  <c r="V50" s="1"/>
  <c r="H51"/>
  <c r="X51" s="1"/>
  <c r="U51" s="1"/>
  <c r="V51" s="1"/>
  <c r="H52"/>
  <c r="X52" s="1"/>
  <c r="U52" s="1"/>
  <c r="V52" s="1"/>
  <c r="H53"/>
  <c r="H54"/>
  <c r="H55"/>
  <c r="X55" s="1"/>
  <c r="U55" s="1"/>
  <c r="V55" s="1"/>
  <c r="H56"/>
  <c r="X56" s="1"/>
  <c r="U56" s="1"/>
  <c r="V56" s="1"/>
  <c r="H57"/>
  <c r="H58"/>
  <c r="X58" s="1"/>
  <c r="U58" s="1"/>
  <c r="V58" s="1"/>
  <c r="H59"/>
  <c r="B14"/>
  <c r="B15"/>
  <c r="X4" i="3" a="1"/>
  <c r="X4" s="1"/>
  <c r="X5" a="1"/>
  <c r="X5" s="1"/>
  <c r="X6" a="1"/>
  <c r="X6" s="1"/>
  <c r="X7" a="1"/>
  <c r="X7" s="1"/>
  <c r="X8" a="1"/>
  <c r="X8" s="1"/>
  <c r="X9" a="1"/>
  <c r="X9" s="1"/>
  <c r="X10" a="1"/>
  <c r="X10" s="1"/>
  <c r="X11" a="1"/>
  <c r="X11" s="1"/>
  <c r="X12" a="1"/>
  <c r="X12" s="1"/>
  <c r="X13" a="1"/>
  <c r="X13" s="1"/>
  <c r="X14" a="1"/>
  <c r="X14" s="1"/>
  <c r="X15" a="1"/>
  <c r="X15" s="1"/>
  <c r="W4" a="1"/>
  <c r="W4" s="1"/>
  <c r="W5" a="1"/>
  <c r="W5" s="1"/>
  <c r="W6" a="1"/>
  <c r="W6" s="1"/>
  <c r="W7" a="1"/>
  <c r="W7" s="1"/>
  <c r="W8" a="1"/>
  <c r="W8" s="1"/>
  <c r="W9" a="1"/>
  <c r="W9" s="1"/>
  <c r="W10" a="1"/>
  <c r="W10" s="1"/>
  <c r="W11" a="1"/>
  <c r="W11" s="1"/>
  <c r="W12" a="1"/>
  <c r="W12" s="1"/>
  <c r="W13" a="1"/>
  <c r="W13" s="1"/>
  <c r="W14" a="1"/>
  <c r="W14" s="1"/>
  <c r="W15" a="1"/>
  <c r="W15" s="1"/>
  <c r="V15" a="1"/>
  <c r="V15" s="1"/>
  <c r="V4" a="1"/>
  <c r="V4" s="1"/>
  <c r="V5" a="1"/>
  <c r="V5" s="1"/>
  <c r="V6" a="1"/>
  <c r="V6" s="1"/>
  <c r="V7" a="1"/>
  <c r="V7" s="1"/>
  <c r="V8" a="1"/>
  <c r="V8" s="1"/>
  <c r="V9" a="1"/>
  <c r="V9" s="1"/>
  <c r="V10" a="1"/>
  <c r="V10" s="1"/>
  <c r="V11" a="1"/>
  <c r="V11" s="1"/>
  <c r="V12" a="1"/>
  <c r="V12" s="1"/>
  <c r="V13" a="1"/>
  <c r="V13" s="1"/>
  <c r="V14" a="1"/>
  <c r="V14" s="1"/>
  <c r="U4" a="1"/>
  <c r="U4" s="1"/>
  <c r="U5" a="1"/>
  <c r="U5" s="1"/>
  <c r="U6" a="1"/>
  <c r="U6" s="1"/>
  <c r="U7" a="1"/>
  <c r="U7" s="1"/>
  <c r="U8" a="1"/>
  <c r="U8" s="1"/>
  <c r="U9" a="1"/>
  <c r="U9" s="1"/>
  <c r="U10" a="1"/>
  <c r="U10" s="1"/>
  <c r="U11" a="1"/>
  <c r="U11" s="1"/>
  <c r="U12" a="1"/>
  <c r="U12" s="1"/>
  <c r="U13" a="1"/>
  <c r="U13" s="1"/>
  <c r="U14" a="1"/>
  <c r="U14" s="1"/>
  <c r="U15" a="1"/>
  <c r="U15" s="1"/>
  <c r="T11" a="1"/>
  <c r="T11" s="1"/>
  <c r="T12" a="1"/>
  <c r="T12" s="1"/>
  <c r="T13" a="1"/>
  <c r="T13" s="1"/>
  <c r="T14" a="1"/>
  <c r="T14" s="1"/>
  <c r="T15" a="1"/>
  <c r="T15" s="1"/>
  <c r="T12" i="1"/>
  <c r="N9" i="2" s="1"/>
  <c r="T11" i="1"/>
  <c r="BH1"/>
  <c r="BG1" s="1"/>
  <c r="BF1" s="1"/>
  <c r="BE1" s="1"/>
  <c r="BD1" s="1"/>
  <c r="BC1" s="1"/>
  <c r="BB1" s="1"/>
  <c r="BA1" s="1"/>
  <c r="AZ1" s="1"/>
  <c r="AY1" s="1"/>
  <c r="AX1" s="1"/>
  <c r="AW1" s="1"/>
  <c r="AV1" s="1"/>
  <c r="AU1" s="1"/>
  <c r="AT1" s="1"/>
  <c r="AS1" s="1"/>
  <c r="AR1" s="1"/>
  <c r="BL8" s="1" a="1"/>
  <c r="BL8" s="1"/>
  <c r="AG21"/>
  <c r="AG20"/>
  <c r="H32"/>
  <c r="P32" s="1"/>
  <c r="H33"/>
  <c r="Q33" s="1"/>
  <c r="AA32"/>
  <c r="AA33"/>
  <c r="AA34"/>
  <c r="AA35"/>
  <c r="AA36"/>
  <c r="T32"/>
  <c r="Z32" s="1"/>
  <c r="T33"/>
  <c r="Z33" s="1"/>
  <c r="T34"/>
  <c r="Z34" s="1"/>
  <c r="T35"/>
  <c r="Z35" s="1"/>
  <c r="Y32"/>
  <c r="Y33"/>
  <c r="Y34"/>
  <c r="H34"/>
  <c r="P34" s="1"/>
  <c r="W32" a="1"/>
  <c r="W32" s="1"/>
  <c r="W33" a="1"/>
  <c r="W33" s="1"/>
  <c r="R32" a="1"/>
  <c r="R32" s="1"/>
  <c r="S32" s="1"/>
  <c r="R33" a="1"/>
  <c r="R33" s="1"/>
  <c r="S33" s="1"/>
  <c r="Y33" i="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Y147"/>
  <c r="Y148"/>
  <c r="Y149"/>
  <c r="Y150"/>
  <c r="Y151"/>
  <c r="Y152"/>
  <c r="Y153"/>
  <c r="Y154"/>
  <c r="Y155"/>
  <c r="Y156"/>
  <c r="Y157"/>
  <c r="Y158"/>
  <c r="Y159"/>
  <c r="Y160"/>
  <c r="Y161"/>
  <c r="Y162"/>
  <c r="Y163"/>
  <c r="Y164"/>
  <c r="Y165"/>
  <c r="Y166"/>
  <c r="Y167"/>
  <c r="Y168"/>
  <c r="Y169"/>
  <c r="Y170"/>
  <c r="Y171"/>
  <c r="Y172"/>
  <c r="Y173"/>
  <c r="Y174"/>
  <c r="Y175"/>
  <c r="Y176"/>
  <c r="Y177"/>
  <c r="Y178"/>
  <c r="Y179"/>
  <c r="Y180"/>
  <c r="Y181"/>
  <c r="Y182"/>
  <c r="Y183"/>
  <c r="Y184"/>
  <c r="Y185"/>
  <c r="Y186"/>
  <c r="Y187"/>
  <c r="Y188"/>
  <c r="Y189"/>
  <c r="Y190"/>
  <c r="Y191"/>
  <c r="Y192"/>
  <c r="Y193"/>
  <c r="Y194"/>
  <c r="Y195"/>
  <c r="Y196"/>
  <c r="Y197"/>
  <c r="Y198"/>
  <c r="Y199"/>
  <c r="Y200"/>
  <c r="Y201"/>
  <c r="Y202"/>
  <c r="Y203"/>
  <c r="Y204"/>
  <c r="Y205"/>
  <c r="Y206"/>
  <c r="Y207"/>
  <c r="Y208"/>
  <c r="Y209"/>
  <c r="Y210"/>
  <c r="Y211"/>
  <c r="Y212"/>
  <c r="Y213"/>
  <c r="Y214"/>
  <c r="Y215"/>
  <c r="Y216"/>
  <c r="Y217"/>
  <c r="Y218"/>
  <c r="Y219"/>
  <c r="Y220"/>
  <c r="Y221"/>
  <c r="Y222"/>
  <c r="Y223"/>
  <c r="Y224"/>
  <c r="Y225"/>
  <c r="Y226"/>
  <c r="Y227"/>
  <c r="Y228"/>
  <c r="Y229"/>
  <c r="Y230"/>
  <c r="Y231"/>
  <c r="Y232"/>
  <c r="Y233"/>
  <c r="Y234"/>
  <c r="Y235"/>
  <c r="Y236"/>
  <c r="Y237"/>
  <c r="Y238"/>
  <c r="Y239"/>
  <c r="Y240"/>
  <c r="Y241"/>
  <c r="Y242"/>
  <c r="Y243"/>
  <c r="Y244"/>
  <c r="Y245"/>
  <c r="Y246"/>
  <c r="Y247"/>
  <c r="Y248"/>
  <c r="Y249"/>
  <c r="Y250"/>
  <c r="Y251"/>
  <c r="Y252"/>
  <c r="Y253"/>
  <c r="Y254"/>
  <c r="Y255"/>
  <c r="Y256"/>
  <c r="Y257"/>
  <c r="Y258"/>
  <c r="Y259"/>
  <c r="Y260"/>
  <c r="Y261"/>
  <c r="Y262"/>
  <c r="Y263"/>
  <c r="Y264"/>
  <c r="Y265"/>
  <c r="Y266"/>
  <c r="Y267"/>
  <c r="Y268"/>
  <c r="Y269"/>
  <c r="Y270"/>
  <c r="Y271"/>
  <c r="Y272"/>
  <c r="Y273"/>
  <c r="Y274"/>
  <c r="Y275"/>
  <c r="Y276"/>
  <c r="Y277"/>
  <c r="Y278"/>
  <c r="Y279"/>
  <c r="Y280"/>
  <c r="Y281"/>
  <c r="Y282"/>
  <c r="Y283"/>
  <c r="Y284"/>
  <c r="Y285"/>
  <c r="Y286"/>
  <c r="Y287"/>
  <c r="Y288"/>
  <c r="Y289"/>
  <c r="Y290"/>
  <c r="Y291"/>
  <c r="Y292"/>
  <c r="Y293"/>
  <c r="Y294"/>
  <c r="Y295"/>
  <c r="Y296"/>
  <c r="Y297"/>
  <c r="Y298"/>
  <c r="Y299"/>
  <c r="Y300"/>
  <c r="Y301"/>
  <c r="Y302"/>
  <c r="Y303"/>
  <c r="Y304"/>
  <c r="Y305"/>
  <c r="Y306"/>
  <c r="Y307"/>
  <c r="Y308"/>
  <c r="Y309"/>
  <c r="Y310"/>
  <c r="Y311"/>
  <c r="Y312"/>
  <c r="Y313"/>
  <c r="Y314"/>
  <c r="Y315"/>
  <c r="Y316"/>
  <c r="Y317"/>
  <c r="Y318"/>
  <c r="Y319"/>
  <c r="Y320"/>
  <c r="Y321"/>
  <c r="Y322"/>
  <c r="Y323"/>
  <c r="Y324"/>
  <c r="Y325"/>
  <c r="Y326"/>
  <c r="Y327"/>
  <c r="Y328"/>
  <c r="Y329"/>
  <c r="Y330"/>
  <c r="Y331"/>
  <c r="Y332"/>
  <c r="Y333"/>
  <c r="Y334"/>
  <c r="Y335"/>
  <c r="Y336"/>
  <c r="Y337"/>
  <c r="Y338"/>
  <c r="Y339"/>
  <c r="Y340"/>
  <c r="Y341"/>
  <c r="Y342"/>
  <c r="Y343"/>
  <c r="Y344"/>
  <c r="Y345"/>
  <c r="Y346"/>
  <c r="Y347"/>
  <c r="Y348"/>
  <c r="Y349"/>
  <c r="Y350"/>
  <c r="Y351"/>
  <c r="Y352"/>
  <c r="Y353"/>
  <c r="Y354"/>
  <c r="Y355"/>
  <c r="Y356"/>
  <c r="Y357"/>
  <c r="Y358"/>
  <c r="Y359"/>
  <c r="Y360"/>
  <c r="Y361"/>
  <c r="Y362"/>
  <c r="Y363"/>
  <c r="Y364"/>
  <c r="Y365"/>
  <c r="Y366"/>
  <c r="Y367"/>
  <c r="Y368"/>
  <c r="Y369"/>
  <c r="Y370"/>
  <c r="Y371"/>
  <c r="Y372"/>
  <c r="Y373"/>
  <c r="Y374"/>
  <c r="Y375"/>
  <c r="Y376"/>
  <c r="Y377"/>
  <c r="Y378"/>
  <c r="Y379"/>
  <c r="Y380"/>
  <c r="Y381"/>
  <c r="Y382"/>
  <c r="Y383"/>
  <c r="Y384"/>
  <c r="Y385"/>
  <c r="Y386"/>
  <c r="Y387"/>
  <c r="Y388"/>
  <c r="Y389"/>
  <c r="Y390"/>
  <c r="Y391"/>
  <c r="Y392"/>
  <c r="Y393"/>
  <c r="Y394"/>
  <c r="Y395"/>
  <c r="Y396"/>
  <c r="Y397"/>
  <c r="Y398"/>
  <c r="Y399"/>
  <c r="Y400"/>
  <c r="Y401"/>
  <c r="Y402"/>
  <c r="Y403"/>
  <c r="Y404"/>
  <c r="Y405"/>
  <c r="Y406"/>
  <c r="Y407"/>
  <c r="Y408"/>
  <c r="Y409"/>
  <c r="Y410"/>
  <c r="Y411"/>
  <c r="Y412"/>
  <c r="Y413"/>
  <c r="Y414"/>
  <c r="Y415"/>
  <c r="Y416"/>
  <c r="Y417"/>
  <c r="Y418"/>
  <c r="Y419"/>
  <c r="Y420"/>
  <c r="Y421"/>
  <c r="Y422"/>
  <c r="Y423"/>
  <c r="Y424"/>
  <c r="Y425"/>
  <c r="Y426"/>
  <c r="Y427"/>
  <c r="Y428"/>
  <c r="Y429"/>
  <c r="Y430"/>
  <c r="Y431"/>
  <c r="Y432"/>
  <c r="Y433"/>
  <c r="Y434"/>
  <c r="Y435"/>
  <c r="Y436"/>
  <c r="Y437"/>
  <c r="Y438"/>
  <c r="Y439"/>
  <c r="Y440"/>
  <c r="Y441"/>
  <c r="Y442"/>
  <c r="Y443"/>
  <c r="Y444"/>
  <c r="Y445"/>
  <c r="Y446"/>
  <c r="Y447"/>
  <c r="Y448"/>
  <c r="Y449"/>
  <c r="Y450"/>
  <c r="Y451"/>
  <c r="Y452"/>
  <c r="Y453"/>
  <c r="Y454"/>
  <c r="Y455"/>
  <c r="Y456"/>
  <c r="Y457"/>
  <c r="Y458"/>
  <c r="Y459"/>
  <c r="Y460"/>
  <c r="Y461"/>
  <c r="Y462"/>
  <c r="Y463"/>
  <c r="Y464"/>
  <c r="Y465"/>
  <c r="Y466"/>
  <c r="Y467"/>
  <c r="Y468"/>
  <c r="Y469"/>
  <c r="Y470"/>
  <c r="Y471"/>
  <c r="Y472"/>
  <c r="Y473"/>
  <c r="Y474"/>
  <c r="Y475"/>
  <c r="Y476"/>
  <c r="Y477"/>
  <c r="Y478"/>
  <c r="Y479"/>
  <c r="Y480"/>
  <c r="Y481"/>
  <c r="Y482"/>
  <c r="Y483"/>
  <c r="Y484"/>
  <c r="Y485"/>
  <c r="Y486"/>
  <c r="Y487"/>
  <c r="Y488"/>
  <c r="Y489"/>
  <c r="Y490"/>
  <c r="Y491"/>
  <c r="Y492"/>
  <c r="Y493"/>
  <c r="Y494"/>
  <c r="Y495"/>
  <c r="Y496"/>
  <c r="Y497"/>
  <c r="Y498"/>
  <c r="Y499"/>
  <c r="Y500"/>
  <c r="Y501"/>
  <c r="Y502"/>
  <c r="Y503"/>
  <c r="Y504"/>
  <c r="Y505"/>
  <c r="Y506"/>
  <c r="Y507"/>
  <c r="Y508"/>
  <c r="Y509"/>
  <c r="Y510"/>
  <c r="Y511"/>
  <c r="Y512"/>
  <c r="Y513"/>
  <c r="Y514"/>
  <c r="Y515"/>
  <c r="Y516"/>
  <c r="Y517"/>
  <c r="Y518"/>
  <c r="Y519"/>
  <c r="Y520"/>
  <c r="Y521"/>
  <c r="Y522"/>
  <c r="Y523"/>
  <c r="Y524"/>
  <c r="Y525"/>
  <c r="Y526"/>
  <c r="Y527"/>
  <c r="Y528"/>
  <c r="Y529"/>
  <c r="Y530"/>
  <c r="Y531"/>
  <c r="Y532"/>
  <c r="Y533"/>
  <c r="Y534"/>
  <c r="Y535"/>
  <c r="Y536"/>
  <c r="Y537"/>
  <c r="Y538"/>
  <c r="Y539"/>
  <c r="Y540"/>
  <c r="Y541"/>
  <c r="Y542"/>
  <c r="Y543"/>
  <c r="Y544"/>
  <c r="Y545"/>
  <c r="Y546"/>
  <c r="Y547"/>
  <c r="Y548"/>
  <c r="Y549"/>
  <c r="Y550"/>
  <c r="Y551"/>
  <c r="Y552"/>
  <c r="Y553"/>
  <c r="Y554"/>
  <c r="Y555"/>
  <c r="Y556"/>
  <c r="Y557"/>
  <c r="Y558"/>
  <c r="Y559"/>
  <c r="Y560"/>
  <c r="Y561"/>
  <c r="Y562"/>
  <c r="Y563"/>
  <c r="Y564"/>
  <c r="Y565"/>
  <c r="Y566"/>
  <c r="Y567"/>
  <c r="Y568"/>
  <c r="Y569"/>
  <c r="Y570"/>
  <c r="Y571"/>
  <c r="Y572"/>
  <c r="Y573"/>
  <c r="Y574"/>
  <c r="Y575"/>
  <c r="Y576"/>
  <c r="Y577"/>
  <c r="Y578"/>
  <c r="Y579"/>
  <c r="Y580"/>
  <c r="Y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X279"/>
  <c r="X280"/>
  <c r="X281"/>
  <c r="X282"/>
  <c r="X283"/>
  <c r="X284"/>
  <c r="X285"/>
  <c r="X286"/>
  <c r="X287"/>
  <c r="X288"/>
  <c r="X289"/>
  <c r="X290"/>
  <c r="X291"/>
  <c r="X292"/>
  <c r="X293"/>
  <c r="X294"/>
  <c r="X295"/>
  <c r="X296"/>
  <c r="X297"/>
  <c r="X298"/>
  <c r="X299"/>
  <c r="X300"/>
  <c r="X301"/>
  <c r="X302"/>
  <c r="X303"/>
  <c r="X304"/>
  <c r="X305"/>
  <c r="X306"/>
  <c r="X307"/>
  <c r="X308"/>
  <c r="X309"/>
  <c r="X310"/>
  <c r="X311"/>
  <c r="X312"/>
  <c r="X313"/>
  <c r="X314"/>
  <c r="X315"/>
  <c r="X316"/>
  <c r="X317"/>
  <c r="X318"/>
  <c r="X319"/>
  <c r="X320"/>
  <c r="X321"/>
  <c r="X322"/>
  <c r="X323"/>
  <c r="X324"/>
  <c r="X325"/>
  <c r="X326"/>
  <c r="X327"/>
  <c r="X328"/>
  <c r="X329"/>
  <c r="X330"/>
  <c r="X331"/>
  <c r="X332"/>
  <c r="X333"/>
  <c r="X334"/>
  <c r="X335"/>
  <c r="X336"/>
  <c r="X337"/>
  <c r="X338"/>
  <c r="X339"/>
  <c r="X340"/>
  <c r="X341"/>
  <c r="X342"/>
  <c r="X343"/>
  <c r="X344"/>
  <c r="X345"/>
  <c r="X346"/>
  <c r="X347"/>
  <c r="X348"/>
  <c r="X349"/>
  <c r="X350"/>
  <c r="X351"/>
  <c r="X352"/>
  <c r="X353"/>
  <c r="X354"/>
  <c r="X355"/>
  <c r="X356"/>
  <c r="X357"/>
  <c r="X358"/>
  <c r="X359"/>
  <c r="X360"/>
  <c r="X361"/>
  <c r="X362"/>
  <c r="X363"/>
  <c r="X364"/>
  <c r="X365"/>
  <c r="X366"/>
  <c r="X367"/>
  <c r="X368"/>
  <c r="X369"/>
  <c r="X370"/>
  <c r="X371"/>
  <c r="X372"/>
  <c r="X373"/>
  <c r="X374"/>
  <c r="X375"/>
  <c r="X376"/>
  <c r="X377"/>
  <c r="X378"/>
  <c r="X379"/>
  <c r="X380"/>
  <c r="X381"/>
  <c r="X382"/>
  <c r="X383"/>
  <c r="X384"/>
  <c r="X385"/>
  <c r="X386"/>
  <c r="X387"/>
  <c r="X388"/>
  <c r="X389"/>
  <c r="X390"/>
  <c r="X391"/>
  <c r="X392"/>
  <c r="X393"/>
  <c r="X394"/>
  <c r="X395"/>
  <c r="X396"/>
  <c r="X397"/>
  <c r="X398"/>
  <c r="X399"/>
  <c r="X400"/>
  <c r="X401"/>
  <c r="X402"/>
  <c r="X403"/>
  <c r="X404"/>
  <c r="X405"/>
  <c r="X406"/>
  <c r="X407"/>
  <c r="X408"/>
  <c r="X409"/>
  <c r="X410"/>
  <c r="X411"/>
  <c r="X412"/>
  <c r="X413"/>
  <c r="X414"/>
  <c r="X415"/>
  <c r="X416"/>
  <c r="X417"/>
  <c r="X418"/>
  <c r="X419"/>
  <c r="X420"/>
  <c r="X421"/>
  <c r="X422"/>
  <c r="X423"/>
  <c r="X424"/>
  <c r="X425"/>
  <c r="X426"/>
  <c r="X427"/>
  <c r="X428"/>
  <c r="X429"/>
  <c r="X430"/>
  <c r="X431"/>
  <c r="X432"/>
  <c r="X433"/>
  <c r="X434"/>
  <c r="X435"/>
  <c r="X436"/>
  <c r="X437"/>
  <c r="X438"/>
  <c r="X439"/>
  <c r="X440"/>
  <c r="X441"/>
  <c r="X442"/>
  <c r="X443"/>
  <c r="X444"/>
  <c r="X445"/>
  <c r="X446"/>
  <c r="X447"/>
  <c r="X448"/>
  <c r="X449"/>
  <c r="X450"/>
  <c r="X451"/>
  <c r="X452"/>
  <c r="X453"/>
  <c r="X454"/>
  <c r="X455"/>
  <c r="X456"/>
  <c r="X457"/>
  <c r="X458"/>
  <c r="X459"/>
  <c r="X460"/>
  <c r="X461"/>
  <c r="X462"/>
  <c r="X463"/>
  <c r="X464"/>
  <c r="X465"/>
  <c r="X466"/>
  <c r="X467"/>
  <c r="X468"/>
  <c r="X469"/>
  <c r="X470"/>
  <c r="X471"/>
  <c r="X472"/>
  <c r="X473"/>
  <c r="X474"/>
  <c r="X475"/>
  <c r="X476"/>
  <c r="X477"/>
  <c r="X478"/>
  <c r="X479"/>
  <c r="X480"/>
  <c r="X481"/>
  <c r="X482"/>
  <c r="X483"/>
  <c r="X484"/>
  <c r="X485"/>
  <c r="X486"/>
  <c r="X487"/>
  <c r="X488"/>
  <c r="X489"/>
  <c r="X490"/>
  <c r="X491"/>
  <c r="X492"/>
  <c r="X493"/>
  <c r="X494"/>
  <c r="X495"/>
  <c r="X496"/>
  <c r="X497"/>
  <c r="X498"/>
  <c r="X499"/>
  <c r="X500"/>
  <c r="X501"/>
  <c r="X502"/>
  <c r="X503"/>
  <c r="X504"/>
  <c r="X505"/>
  <c r="X506"/>
  <c r="X507"/>
  <c r="X508"/>
  <c r="X509"/>
  <c r="X510"/>
  <c r="X511"/>
  <c r="X512"/>
  <c r="X513"/>
  <c r="X514"/>
  <c r="X515"/>
  <c r="X516"/>
  <c r="X517"/>
  <c r="X518"/>
  <c r="X519"/>
  <c r="X520"/>
  <c r="X521"/>
  <c r="X522"/>
  <c r="X523"/>
  <c r="X524"/>
  <c r="X525"/>
  <c r="X526"/>
  <c r="X527"/>
  <c r="X528"/>
  <c r="X529"/>
  <c r="X530"/>
  <c r="X531"/>
  <c r="X532"/>
  <c r="X533"/>
  <c r="X534"/>
  <c r="X535"/>
  <c r="X536"/>
  <c r="X537"/>
  <c r="X538"/>
  <c r="X539"/>
  <c r="X540"/>
  <c r="X541"/>
  <c r="X542"/>
  <c r="X543"/>
  <c r="X544"/>
  <c r="X545"/>
  <c r="X546"/>
  <c r="X547"/>
  <c r="X548"/>
  <c r="X549"/>
  <c r="X550"/>
  <c r="X551"/>
  <c r="X552"/>
  <c r="X553"/>
  <c r="X554"/>
  <c r="X555"/>
  <c r="X556"/>
  <c r="X557"/>
  <c r="X558"/>
  <c r="X559"/>
  <c r="X560"/>
  <c r="X561"/>
  <c r="X562"/>
  <c r="X563"/>
  <c r="X564"/>
  <c r="X565"/>
  <c r="X566"/>
  <c r="X567"/>
  <c r="X568"/>
  <c r="X569"/>
  <c r="X570"/>
  <c r="X571"/>
  <c r="X572"/>
  <c r="X573"/>
  <c r="X574"/>
  <c r="X575"/>
  <c r="X576"/>
  <c r="X577"/>
  <c r="X578"/>
  <c r="X579"/>
  <c r="X580"/>
  <c r="X32"/>
  <c r="V33"/>
  <c r="W33"/>
  <c r="V34"/>
  <c r="W34"/>
  <c r="V35"/>
  <c r="W35"/>
  <c r="V36"/>
  <c r="W36"/>
  <c r="V37"/>
  <c r="W37"/>
  <c r="V38"/>
  <c r="W38"/>
  <c r="V39"/>
  <c r="W39"/>
  <c r="V40"/>
  <c r="W40"/>
  <c r="V41"/>
  <c r="W41"/>
  <c r="V42"/>
  <c r="W42"/>
  <c r="V43"/>
  <c r="W43"/>
  <c r="V44"/>
  <c r="W44"/>
  <c r="V45"/>
  <c r="W45"/>
  <c r="V46"/>
  <c r="W46"/>
  <c r="V47"/>
  <c r="W47"/>
  <c r="V48"/>
  <c r="W48"/>
  <c r="V49"/>
  <c r="W49"/>
  <c r="V50"/>
  <c r="W50"/>
  <c r="V51"/>
  <c r="W51"/>
  <c r="V52"/>
  <c r="W52"/>
  <c r="V53"/>
  <c r="W53"/>
  <c r="V54"/>
  <c r="W54"/>
  <c r="V55"/>
  <c r="W55"/>
  <c r="V56"/>
  <c r="W56"/>
  <c r="V57"/>
  <c r="W57"/>
  <c r="V58"/>
  <c r="W58"/>
  <c r="V59"/>
  <c r="W59"/>
  <c r="V60"/>
  <c r="W60"/>
  <c r="V61"/>
  <c r="W61"/>
  <c r="V62"/>
  <c r="W62"/>
  <c r="V63"/>
  <c r="W63"/>
  <c r="V64"/>
  <c r="W64"/>
  <c r="V65"/>
  <c r="W65"/>
  <c r="V66"/>
  <c r="W66"/>
  <c r="V67"/>
  <c r="W67"/>
  <c r="V68"/>
  <c r="W68"/>
  <c r="V69"/>
  <c r="W69"/>
  <c r="V70"/>
  <c r="W70"/>
  <c r="V71"/>
  <c r="W71"/>
  <c r="V72"/>
  <c r="W72"/>
  <c r="V73"/>
  <c r="W73"/>
  <c r="V74"/>
  <c r="W74"/>
  <c r="V75"/>
  <c r="W75"/>
  <c r="V76"/>
  <c r="W76"/>
  <c r="V77"/>
  <c r="W77"/>
  <c r="V78"/>
  <c r="W78"/>
  <c r="V79"/>
  <c r="W79"/>
  <c r="V80"/>
  <c r="W80"/>
  <c r="V81"/>
  <c r="W81"/>
  <c r="V82"/>
  <c r="W82"/>
  <c r="V83"/>
  <c r="W83"/>
  <c r="V84"/>
  <c r="W84"/>
  <c r="V85"/>
  <c r="W85"/>
  <c r="V86"/>
  <c r="W86"/>
  <c r="V87"/>
  <c r="W87"/>
  <c r="V88"/>
  <c r="W88"/>
  <c r="V89"/>
  <c r="W89"/>
  <c r="V90"/>
  <c r="W90"/>
  <c r="V91"/>
  <c r="W91"/>
  <c r="V92"/>
  <c r="W92"/>
  <c r="V93"/>
  <c r="W93"/>
  <c r="V94"/>
  <c r="W94"/>
  <c r="V95"/>
  <c r="W95"/>
  <c r="V96"/>
  <c r="W96"/>
  <c r="V97"/>
  <c r="W97"/>
  <c r="V98"/>
  <c r="W98"/>
  <c r="V99"/>
  <c r="W99"/>
  <c r="V100"/>
  <c r="W100"/>
  <c r="V101"/>
  <c r="W101"/>
  <c r="V102"/>
  <c r="W102"/>
  <c r="V103"/>
  <c r="W103"/>
  <c r="V104"/>
  <c r="W104"/>
  <c r="V105"/>
  <c r="W105"/>
  <c r="V106"/>
  <c r="W106"/>
  <c r="V107"/>
  <c r="W107"/>
  <c r="V108"/>
  <c r="W108"/>
  <c r="V109"/>
  <c r="W109"/>
  <c r="V110"/>
  <c r="W110"/>
  <c r="V111"/>
  <c r="W111"/>
  <c r="V112"/>
  <c r="W112"/>
  <c r="V113"/>
  <c r="W113"/>
  <c r="V114"/>
  <c r="W114"/>
  <c r="V115"/>
  <c r="W115"/>
  <c r="V116"/>
  <c r="W116"/>
  <c r="V117"/>
  <c r="W117"/>
  <c r="V118"/>
  <c r="W118"/>
  <c r="V119"/>
  <c r="W119"/>
  <c r="V120"/>
  <c r="W120"/>
  <c r="V121"/>
  <c r="W121"/>
  <c r="V122"/>
  <c r="W122"/>
  <c r="V123"/>
  <c r="W123"/>
  <c r="V124"/>
  <c r="W124"/>
  <c r="V125"/>
  <c r="W125"/>
  <c r="V126"/>
  <c r="W126"/>
  <c r="V127"/>
  <c r="W127"/>
  <c r="V128"/>
  <c r="W128"/>
  <c r="V129"/>
  <c r="W129"/>
  <c r="V130"/>
  <c r="W130"/>
  <c r="V131"/>
  <c r="W131"/>
  <c r="V132"/>
  <c r="W132"/>
  <c r="V133"/>
  <c r="W133"/>
  <c r="V134"/>
  <c r="W134"/>
  <c r="V135"/>
  <c r="W135"/>
  <c r="V136"/>
  <c r="W136"/>
  <c r="V137"/>
  <c r="W137"/>
  <c r="V138"/>
  <c r="W138"/>
  <c r="V139"/>
  <c r="W139"/>
  <c r="V140"/>
  <c r="W140"/>
  <c r="V141"/>
  <c r="W141"/>
  <c r="V142"/>
  <c r="W142"/>
  <c r="V143"/>
  <c r="W143"/>
  <c r="V144"/>
  <c r="W144"/>
  <c r="V145"/>
  <c r="W145"/>
  <c r="V146"/>
  <c r="W146"/>
  <c r="V147"/>
  <c r="W147"/>
  <c r="V148"/>
  <c r="W148"/>
  <c r="V149"/>
  <c r="W149"/>
  <c r="V150"/>
  <c r="W150"/>
  <c r="V151"/>
  <c r="W151"/>
  <c r="V152"/>
  <c r="W152"/>
  <c r="V153"/>
  <c r="W153"/>
  <c r="V154"/>
  <c r="W154"/>
  <c r="V155"/>
  <c r="W155"/>
  <c r="V156"/>
  <c r="W156"/>
  <c r="V157"/>
  <c r="W157"/>
  <c r="V158"/>
  <c r="W158"/>
  <c r="V159"/>
  <c r="W159"/>
  <c r="V160"/>
  <c r="W160"/>
  <c r="V161"/>
  <c r="W161"/>
  <c r="V162"/>
  <c r="W162"/>
  <c r="V163"/>
  <c r="W163"/>
  <c r="V164"/>
  <c r="W164"/>
  <c r="V165"/>
  <c r="W165"/>
  <c r="V166"/>
  <c r="W166"/>
  <c r="V167"/>
  <c r="W167"/>
  <c r="V168"/>
  <c r="W168"/>
  <c r="V169"/>
  <c r="W169"/>
  <c r="V170"/>
  <c r="W170"/>
  <c r="V171"/>
  <c r="W171"/>
  <c r="V172"/>
  <c r="W172"/>
  <c r="V173"/>
  <c r="W173"/>
  <c r="V174"/>
  <c r="W174"/>
  <c r="V175"/>
  <c r="W175"/>
  <c r="V176"/>
  <c r="W176"/>
  <c r="V177"/>
  <c r="W177"/>
  <c r="V178"/>
  <c r="W178"/>
  <c r="V179"/>
  <c r="W179"/>
  <c r="V180"/>
  <c r="W180"/>
  <c r="V181"/>
  <c r="W181"/>
  <c r="V182"/>
  <c r="W182"/>
  <c r="V183"/>
  <c r="W183"/>
  <c r="V184"/>
  <c r="W184"/>
  <c r="V185"/>
  <c r="W185"/>
  <c r="V186"/>
  <c r="W186"/>
  <c r="V187"/>
  <c r="W187"/>
  <c r="V188"/>
  <c r="W188"/>
  <c r="V189"/>
  <c r="W189"/>
  <c r="V190"/>
  <c r="W190"/>
  <c r="V191"/>
  <c r="W191"/>
  <c r="V192"/>
  <c r="W192"/>
  <c r="V193"/>
  <c r="W193"/>
  <c r="V194"/>
  <c r="W194"/>
  <c r="V195"/>
  <c r="W195"/>
  <c r="V196"/>
  <c r="W196"/>
  <c r="V197"/>
  <c r="W197"/>
  <c r="V198"/>
  <c r="W198"/>
  <c r="V199"/>
  <c r="W199"/>
  <c r="V200"/>
  <c r="W200"/>
  <c r="V201"/>
  <c r="W201"/>
  <c r="V202"/>
  <c r="W202"/>
  <c r="V203"/>
  <c r="W203"/>
  <c r="V204"/>
  <c r="W204"/>
  <c r="V205"/>
  <c r="W205"/>
  <c r="V206"/>
  <c r="W206"/>
  <c r="V207"/>
  <c r="W207"/>
  <c r="V208"/>
  <c r="W208"/>
  <c r="V209"/>
  <c r="W209"/>
  <c r="V210"/>
  <c r="W210"/>
  <c r="V211"/>
  <c r="W211"/>
  <c r="V212"/>
  <c r="W212"/>
  <c r="V213"/>
  <c r="W213"/>
  <c r="V214"/>
  <c r="W214"/>
  <c r="V215"/>
  <c r="W215"/>
  <c r="V216"/>
  <c r="W216"/>
  <c r="V217"/>
  <c r="W217"/>
  <c r="V218"/>
  <c r="W218"/>
  <c r="V219"/>
  <c r="W219"/>
  <c r="V220"/>
  <c r="W220"/>
  <c r="V221"/>
  <c r="W221"/>
  <c r="V222"/>
  <c r="W222"/>
  <c r="V223"/>
  <c r="W223"/>
  <c r="V224"/>
  <c r="W224"/>
  <c r="V225"/>
  <c r="W225"/>
  <c r="V226"/>
  <c r="W226"/>
  <c r="V227"/>
  <c r="W227"/>
  <c r="V228"/>
  <c r="W228"/>
  <c r="V229"/>
  <c r="W229"/>
  <c r="V230"/>
  <c r="W230"/>
  <c r="V231"/>
  <c r="W231"/>
  <c r="V232"/>
  <c r="W232"/>
  <c r="V233"/>
  <c r="W233"/>
  <c r="V234"/>
  <c r="W234"/>
  <c r="V235"/>
  <c r="W235"/>
  <c r="V236"/>
  <c r="W236"/>
  <c r="V237"/>
  <c r="W237"/>
  <c r="V238"/>
  <c r="W238"/>
  <c r="V239"/>
  <c r="W239"/>
  <c r="V240"/>
  <c r="W240"/>
  <c r="V241"/>
  <c r="W241"/>
  <c r="V242"/>
  <c r="W242"/>
  <c r="V243"/>
  <c r="W243"/>
  <c r="V244"/>
  <c r="W244"/>
  <c r="V245"/>
  <c r="W245"/>
  <c r="V246"/>
  <c r="W246"/>
  <c r="V247"/>
  <c r="W247"/>
  <c r="V248"/>
  <c r="W248"/>
  <c r="V249"/>
  <c r="W249"/>
  <c r="V250"/>
  <c r="W250"/>
  <c r="V251"/>
  <c r="W251"/>
  <c r="V252"/>
  <c r="W252"/>
  <c r="V253"/>
  <c r="W253"/>
  <c r="V254"/>
  <c r="W254"/>
  <c r="V255"/>
  <c r="W255"/>
  <c r="V256"/>
  <c r="W256"/>
  <c r="V257"/>
  <c r="W257"/>
  <c r="V258"/>
  <c r="W258"/>
  <c r="V259"/>
  <c r="W259"/>
  <c r="V260"/>
  <c r="W260"/>
  <c r="V261"/>
  <c r="W261"/>
  <c r="V262"/>
  <c r="W262"/>
  <c r="V263"/>
  <c r="W263"/>
  <c r="V264"/>
  <c r="W264"/>
  <c r="V265"/>
  <c r="W265"/>
  <c r="V266"/>
  <c r="W266"/>
  <c r="V267"/>
  <c r="W267"/>
  <c r="V268"/>
  <c r="W268"/>
  <c r="V269"/>
  <c r="W269"/>
  <c r="V270"/>
  <c r="W270"/>
  <c r="V271"/>
  <c r="W271"/>
  <c r="V272"/>
  <c r="W272"/>
  <c r="V273"/>
  <c r="W273"/>
  <c r="V274"/>
  <c r="W274"/>
  <c r="V275"/>
  <c r="W275"/>
  <c r="V276"/>
  <c r="W276"/>
  <c r="V277"/>
  <c r="W277"/>
  <c r="V278"/>
  <c r="W278"/>
  <c r="V279"/>
  <c r="W279"/>
  <c r="V280"/>
  <c r="W280"/>
  <c r="V281"/>
  <c r="W281"/>
  <c r="V282"/>
  <c r="W282"/>
  <c r="V283"/>
  <c r="W283"/>
  <c r="V284"/>
  <c r="W284"/>
  <c r="V285"/>
  <c r="W285"/>
  <c r="V286"/>
  <c r="W286"/>
  <c r="V287"/>
  <c r="W287"/>
  <c r="V288"/>
  <c r="W288"/>
  <c r="V289"/>
  <c r="W289"/>
  <c r="V290"/>
  <c r="W290"/>
  <c r="V291"/>
  <c r="W291"/>
  <c r="V292"/>
  <c r="W292"/>
  <c r="V293"/>
  <c r="W293"/>
  <c r="V294"/>
  <c r="W294"/>
  <c r="V295"/>
  <c r="W295"/>
  <c r="V296"/>
  <c r="W296"/>
  <c r="V297"/>
  <c r="W297"/>
  <c r="V298"/>
  <c r="W298"/>
  <c r="V299"/>
  <c r="W299"/>
  <c r="V300"/>
  <c r="W300"/>
  <c r="V301"/>
  <c r="W301"/>
  <c r="V302"/>
  <c r="W302"/>
  <c r="V303"/>
  <c r="W303"/>
  <c r="V304"/>
  <c r="W304"/>
  <c r="V305"/>
  <c r="W305"/>
  <c r="V306"/>
  <c r="W306"/>
  <c r="V307"/>
  <c r="W307"/>
  <c r="V308"/>
  <c r="W308"/>
  <c r="V309"/>
  <c r="W309"/>
  <c r="V310"/>
  <c r="W310"/>
  <c r="V311"/>
  <c r="W311"/>
  <c r="V312"/>
  <c r="W312"/>
  <c r="V313"/>
  <c r="W313"/>
  <c r="V314"/>
  <c r="W314"/>
  <c r="V315"/>
  <c r="W315"/>
  <c r="V316"/>
  <c r="W316"/>
  <c r="V317"/>
  <c r="W317"/>
  <c r="V318"/>
  <c r="W318"/>
  <c r="V319"/>
  <c r="W319"/>
  <c r="V320"/>
  <c r="W320"/>
  <c r="V321"/>
  <c r="W321"/>
  <c r="V322"/>
  <c r="W322"/>
  <c r="V323"/>
  <c r="W323"/>
  <c r="V324"/>
  <c r="W324"/>
  <c r="V325"/>
  <c r="W325"/>
  <c r="V326"/>
  <c r="W326"/>
  <c r="V327"/>
  <c r="W327"/>
  <c r="V328"/>
  <c r="W328"/>
  <c r="V329"/>
  <c r="W329"/>
  <c r="V330"/>
  <c r="W330"/>
  <c r="V331"/>
  <c r="W331"/>
  <c r="V332"/>
  <c r="W332"/>
  <c r="V333"/>
  <c r="W333"/>
  <c r="V334"/>
  <c r="W334"/>
  <c r="V335"/>
  <c r="W335"/>
  <c r="V336"/>
  <c r="W336"/>
  <c r="V337"/>
  <c r="W337"/>
  <c r="V338"/>
  <c r="W338"/>
  <c r="V339"/>
  <c r="W339"/>
  <c r="V340"/>
  <c r="W340"/>
  <c r="V341"/>
  <c r="W341"/>
  <c r="V342"/>
  <c r="W342"/>
  <c r="V343"/>
  <c r="W343"/>
  <c r="V344"/>
  <c r="W344"/>
  <c r="V345"/>
  <c r="W345"/>
  <c r="V346"/>
  <c r="W346"/>
  <c r="V347"/>
  <c r="W347"/>
  <c r="V348"/>
  <c r="W348"/>
  <c r="V349"/>
  <c r="W349"/>
  <c r="V350"/>
  <c r="W350"/>
  <c r="V351"/>
  <c r="W351"/>
  <c r="V352"/>
  <c r="W352"/>
  <c r="V353"/>
  <c r="W353"/>
  <c r="V354"/>
  <c r="W354"/>
  <c r="V355"/>
  <c r="W355"/>
  <c r="V356"/>
  <c r="W356"/>
  <c r="V357"/>
  <c r="W357"/>
  <c r="V358"/>
  <c r="W358"/>
  <c r="V359"/>
  <c r="W359"/>
  <c r="V360"/>
  <c r="W360"/>
  <c r="V361"/>
  <c r="W361"/>
  <c r="V362"/>
  <c r="W362"/>
  <c r="V363"/>
  <c r="W363"/>
  <c r="V364"/>
  <c r="W364"/>
  <c r="V365"/>
  <c r="W365"/>
  <c r="V366"/>
  <c r="W366"/>
  <c r="V367"/>
  <c r="W367"/>
  <c r="V368"/>
  <c r="W368"/>
  <c r="V369"/>
  <c r="W369"/>
  <c r="V370"/>
  <c r="W370"/>
  <c r="V371"/>
  <c r="W371"/>
  <c r="V372"/>
  <c r="W372"/>
  <c r="V373"/>
  <c r="W373"/>
  <c r="V374"/>
  <c r="W374"/>
  <c r="V375"/>
  <c r="W375"/>
  <c r="V376"/>
  <c r="W376"/>
  <c r="V377"/>
  <c r="W377"/>
  <c r="V378"/>
  <c r="W378"/>
  <c r="V379"/>
  <c r="W379"/>
  <c r="V380"/>
  <c r="W380"/>
  <c r="V381"/>
  <c r="W381"/>
  <c r="V382"/>
  <c r="W382"/>
  <c r="V383"/>
  <c r="W383"/>
  <c r="V384"/>
  <c r="W384"/>
  <c r="V385"/>
  <c r="W385"/>
  <c r="V386"/>
  <c r="W386"/>
  <c r="V387"/>
  <c r="W387"/>
  <c r="V388"/>
  <c r="W388"/>
  <c r="V389"/>
  <c r="W389"/>
  <c r="V390"/>
  <c r="W390"/>
  <c r="V391"/>
  <c r="W391"/>
  <c r="V392"/>
  <c r="W392"/>
  <c r="V393"/>
  <c r="W393"/>
  <c r="V394"/>
  <c r="W394"/>
  <c r="V395"/>
  <c r="W395"/>
  <c r="V396"/>
  <c r="W396"/>
  <c r="V397"/>
  <c r="W397"/>
  <c r="V398"/>
  <c r="W398"/>
  <c r="V399"/>
  <c r="W399"/>
  <c r="V400"/>
  <c r="W400"/>
  <c r="V401"/>
  <c r="W401"/>
  <c r="V402"/>
  <c r="W402"/>
  <c r="V403"/>
  <c r="W403"/>
  <c r="V404"/>
  <c r="W404"/>
  <c r="V405"/>
  <c r="W405"/>
  <c r="V406"/>
  <c r="W406"/>
  <c r="V407"/>
  <c r="W407"/>
  <c r="V408"/>
  <c r="W408"/>
  <c r="V409"/>
  <c r="W409"/>
  <c r="V410"/>
  <c r="W410"/>
  <c r="V411"/>
  <c r="W411"/>
  <c r="V412"/>
  <c r="W412"/>
  <c r="V413"/>
  <c r="W413"/>
  <c r="V414"/>
  <c r="W414"/>
  <c r="V415"/>
  <c r="W415"/>
  <c r="V416"/>
  <c r="W416"/>
  <c r="V417"/>
  <c r="W417"/>
  <c r="V418"/>
  <c r="W418"/>
  <c r="V419"/>
  <c r="W419"/>
  <c r="V420"/>
  <c r="W420"/>
  <c r="V421"/>
  <c r="W421"/>
  <c r="V422"/>
  <c r="W422"/>
  <c r="V423"/>
  <c r="W423"/>
  <c r="V424"/>
  <c r="W424"/>
  <c r="V425"/>
  <c r="W425"/>
  <c r="V426"/>
  <c r="W426"/>
  <c r="V427"/>
  <c r="W427"/>
  <c r="V428"/>
  <c r="W428"/>
  <c r="V429"/>
  <c r="W429"/>
  <c r="V430"/>
  <c r="W430"/>
  <c r="V431"/>
  <c r="W431"/>
  <c r="V432"/>
  <c r="W432"/>
  <c r="V433"/>
  <c r="W433"/>
  <c r="V434"/>
  <c r="W434"/>
  <c r="V435"/>
  <c r="W435"/>
  <c r="V436"/>
  <c r="W436"/>
  <c r="V437"/>
  <c r="W437"/>
  <c r="V438"/>
  <c r="W438"/>
  <c r="V439"/>
  <c r="W439"/>
  <c r="V440"/>
  <c r="W440"/>
  <c r="V441"/>
  <c r="W441"/>
  <c r="V442"/>
  <c r="W442"/>
  <c r="V443"/>
  <c r="W443"/>
  <c r="V444"/>
  <c r="W444"/>
  <c r="V445"/>
  <c r="W445"/>
  <c r="V446"/>
  <c r="W446"/>
  <c r="V447"/>
  <c r="W447"/>
  <c r="V448"/>
  <c r="W448"/>
  <c r="V449"/>
  <c r="W449"/>
  <c r="V450"/>
  <c r="W450"/>
  <c r="V451"/>
  <c r="W451"/>
  <c r="V452"/>
  <c r="W452"/>
  <c r="V453"/>
  <c r="W453"/>
  <c r="V454"/>
  <c r="W454"/>
  <c r="V455"/>
  <c r="W455"/>
  <c r="V456"/>
  <c r="W456"/>
  <c r="V457"/>
  <c r="W457"/>
  <c r="V458"/>
  <c r="W458"/>
  <c r="V459"/>
  <c r="W459"/>
  <c r="V460"/>
  <c r="W460"/>
  <c r="V461"/>
  <c r="W461"/>
  <c r="V462"/>
  <c r="W462"/>
  <c r="V463"/>
  <c r="W463"/>
  <c r="V464"/>
  <c r="W464"/>
  <c r="V465"/>
  <c r="W465"/>
  <c r="V466"/>
  <c r="W466"/>
  <c r="V467"/>
  <c r="W467"/>
  <c r="V468"/>
  <c r="W468"/>
  <c r="V469"/>
  <c r="W469"/>
  <c r="V470"/>
  <c r="W470"/>
  <c r="V471"/>
  <c r="W471"/>
  <c r="V472"/>
  <c r="W472"/>
  <c r="V473"/>
  <c r="W473"/>
  <c r="V474"/>
  <c r="W474"/>
  <c r="V475"/>
  <c r="W475"/>
  <c r="V476"/>
  <c r="W476"/>
  <c r="V477"/>
  <c r="W477"/>
  <c r="V478"/>
  <c r="W478"/>
  <c r="V479"/>
  <c r="W479"/>
  <c r="V480"/>
  <c r="W480"/>
  <c r="V481"/>
  <c r="W481"/>
  <c r="V482"/>
  <c r="W482"/>
  <c r="V483"/>
  <c r="W483"/>
  <c r="V484"/>
  <c r="W484"/>
  <c r="V485"/>
  <c r="W485"/>
  <c r="V486"/>
  <c r="W486"/>
  <c r="V487"/>
  <c r="W487"/>
  <c r="V488"/>
  <c r="W488"/>
  <c r="V489"/>
  <c r="W489"/>
  <c r="V490"/>
  <c r="W490"/>
  <c r="V491"/>
  <c r="W491"/>
  <c r="V492"/>
  <c r="W492"/>
  <c r="V493"/>
  <c r="W493"/>
  <c r="V494"/>
  <c r="W494"/>
  <c r="V495"/>
  <c r="W495"/>
  <c r="V496"/>
  <c r="W496"/>
  <c r="V497"/>
  <c r="W497"/>
  <c r="V498"/>
  <c r="W498"/>
  <c r="V499"/>
  <c r="W499"/>
  <c r="V500"/>
  <c r="W500"/>
  <c r="V501"/>
  <c r="W501"/>
  <c r="V502"/>
  <c r="W502"/>
  <c r="V503"/>
  <c r="W503"/>
  <c r="V504"/>
  <c r="W504"/>
  <c r="V505"/>
  <c r="W505"/>
  <c r="V506"/>
  <c r="W506"/>
  <c r="V507"/>
  <c r="W507"/>
  <c r="V508"/>
  <c r="W508"/>
  <c r="V509"/>
  <c r="W509"/>
  <c r="V510"/>
  <c r="W510"/>
  <c r="V511"/>
  <c r="W511"/>
  <c r="V512"/>
  <c r="W512"/>
  <c r="V513"/>
  <c r="W513"/>
  <c r="V514"/>
  <c r="W514"/>
  <c r="V515"/>
  <c r="W515"/>
  <c r="V516"/>
  <c r="W516"/>
  <c r="V517"/>
  <c r="W517"/>
  <c r="V518"/>
  <c r="W518"/>
  <c r="V519"/>
  <c r="W519"/>
  <c r="V520"/>
  <c r="W520"/>
  <c r="V521"/>
  <c r="W521"/>
  <c r="V522"/>
  <c r="W522"/>
  <c r="V523"/>
  <c r="W523"/>
  <c r="V524"/>
  <c r="W524"/>
  <c r="V525"/>
  <c r="W525"/>
  <c r="V526"/>
  <c r="W526"/>
  <c r="V527"/>
  <c r="W527"/>
  <c r="V528"/>
  <c r="W528"/>
  <c r="V529"/>
  <c r="W529"/>
  <c r="V530"/>
  <c r="W530"/>
  <c r="V531"/>
  <c r="W531"/>
  <c r="V532"/>
  <c r="W532"/>
  <c r="V533"/>
  <c r="W533"/>
  <c r="V534"/>
  <c r="W534"/>
  <c r="V535"/>
  <c r="W535"/>
  <c r="V536"/>
  <c r="W536"/>
  <c r="V537"/>
  <c r="W537"/>
  <c r="V538"/>
  <c r="W538"/>
  <c r="V539"/>
  <c r="W539"/>
  <c r="V540"/>
  <c r="W540"/>
  <c r="V541"/>
  <c r="W541"/>
  <c r="V542"/>
  <c r="W542"/>
  <c r="V543"/>
  <c r="W543"/>
  <c r="V544"/>
  <c r="W544"/>
  <c r="V545"/>
  <c r="W545"/>
  <c r="V546"/>
  <c r="W546"/>
  <c r="V547"/>
  <c r="W547"/>
  <c r="V548"/>
  <c r="W548"/>
  <c r="V549"/>
  <c r="W549"/>
  <c r="V550"/>
  <c r="W550"/>
  <c r="V551"/>
  <c r="W551"/>
  <c r="V552"/>
  <c r="W552"/>
  <c r="V553"/>
  <c r="W553"/>
  <c r="V554"/>
  <c r="W554"/>
  <c r="V555"/>
  <c r="W555"/>
  <c r="V556"/>
  <c r="W556"/>
  <c r="V557"/>
  <c r="W557"/>
  <c r="V558"/>
  <c r="W558"/>
  <c r="V559"/>
  <c r="W559"/>
  <c r="V560"/>
  <c r="W560"/>
  <c r="V561"/>
  <c r="W561"/>
  <c r="V562"/>
  <c r="W562"/>
  <c r="V563"/>
  <c r="W563"/>
  <c r="V564"/>
  <c r="W564"/>
  <c r="V565"/>
  <c r="W565"/>
  <c r="V566"/>
  <c r="W566"/>
  <c r="V567"/>
  <c r="W567"/>
  <c r="V568"/>
  <c r="W568"/>
  <c r="V569"/>
  <c r="W569"/>
  <c r="V570"/>
  <c r="W570"/>
  <c r="V571"/>
  <c r="W571"/>
  <c r="V572"/>
  <c r="W572"/>
  <c r="V573"/>
  <c r="W573"/>
  <c r="V574"/>
  <c r="W574"/>
  <c r="V575"/>
  <c r="W575"/>
  <c r="V576"/>
  <c r="W576"/>
  <c r="V577"/>
  <c r="W577"/>
  <c r="V578"/>
  <c r="W578"/>
  <c r="V579"/>
  <c r="W579"/>
  <c r="V580"/>
  <c r="W580"/>
  <c r="W32"/>
  <c r="V32"/>
  <c r="BK2" i="1"/>
  <c r="E6" i="3"/>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0"/>
  <c r="R161"/>
  <c r="R162"/>
  <c r="R163"/>
  <c r="R164"/>
  <c r="R165"/>
  <c r="R166"/>
  <c r="R167"/>
  <c r="R168"/>
  <c r="R169"/>
  <c r="R170"/>
  <c r="R171"/>
  <c r="R172"/>
  <c r="R173"/>
  <c r="R174"/>
  <c r="R175"/>
  <c r="R176"/>
  <c r="R177"/>
  <c r="R178"/>
  <c r="R179"/>
  <c r="R180"/>
  <c r="R181"/>
  <c r="R182"/>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28"/>
  <c r="R229"/>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R323"/>
  <c r="R324"/>
  <c r="R325"/>
  <c r="R326"/>
  <c r="R327"/>
  <c r="R328"/>
  <c r="R329"/>
  <c r="R330"/>
  <c r="R331"/>
  <c r="R332"/>
  <c r="R333"/>
  <c r="R334"/>
  <c r="R335"/>
  <c r="R336"/>
  <c r="R337"/>
  <c r="R338"/>
  <c r="R339"/>
  <c r="R340"/>
  <c r="R341"/>
  <c r="R342"/>
  <c r="R343"/>
  <c r="R344"/>
  <c r="R345"/>
  <c r="R346"/>
  <c r="R347"/>
  <c r="R348"/>
  <c r="R349"/>
  <c r="R350"/>
  <c r="R351"/>
  <c r="R352"/>
  <c r="R353"/>
  <c r="R354"/>
  <c r="R355"/>
  <c r="R356"/>
  <c r="R357"/>
  <c r="R358"/>
  <c r="R359"/>
  <c r="R360"/>
  <c r="R361"/>
  <c r="R362"/>
  <c r="R363"/>
  <c r="R364"/>
  <c r="R365"/>
  <c r="R366"/>
  <c r="R367"/>
  <c r="R368"/>
  <c r="R369"/>
  <c r="R370"/>
  <c r="R371"/>
  <c r="R372"/>
  <c r="R373"/>
  <c r="R374"/>
  <c r="R375"/>
  <c r="R376"/>
  <c r="R377"/>
  <c r="R378"/>
  <c r="R379"/>
  <c r="R380"/>
  <c r="R381"/>
  <c r="R382"/>
  <c r="R383"/>
  <c r="R384"/>
  <c r="R385"/>
  <c r="R386"/>
  <c r="R387"/>
  <c r="R388"/>
  <c r="R389"/>
  <c r="R390"/>
  <c r="R391"/>
  <c r="R392"/>
  <c r="R393"/>
  <c r="R394"/>
  <c r="R395"/>
  <c r="R396"/>
  <c r="R397"/>
  <c r="R398"/>
  <c r="R399"/>
  <c r="R400"/>
  <c r="R401"/>
  <c r="R402"/>
  <c r="R403"/>
  <c r="R404"/>
  <c r="R405"/>
  <c r="R406"/>
  <c r="R407"/>
  <c r="R408"/>
  <c r="R409"/>
  <c r="R410"/>
  <c r="R411"/>
  <c r="R412"/>
  <c r="R413"/>
  <c r="R414"/>
  <c r="R415"/>
  <c r="R416"/>
  <c r="R417"/>
  <c r="R418"/>
  <c r="R419"/>
  <c r="R420"/>
  <c r="R421"/>
  <c r="R422"/>
  <c r="R423"/>
  <c r="R424"/>
  <c r="R425"/>
  <c r="R426"/>
  <c r="R427"/>
  <c r="R428"/>
  <c r="R429"/>
  <c r="R430"/>
  <c r="R431"/>
  <c r="R432"/>
  <c r="R433"/>
  <c r="R434"/>
  <c r="R435"/>
  <c r="R436"/>
  <c r="R437"/>
  <c r="R438"/>
  <c r="R439"/>
  <c r="R440"/>
  <c r="R441"/>
  <c r="R442"/>
  <c r="R443"/>
  <c r="R444"/>
  <c r="R445"/>
  <c r="R446"/>
  <c r="R447"/>
  <c r="R448"/>
  <c r="R449"/>
  <c r="R450"/>
  <c r="R451"/>
  <c r="R452"/>
  <c r="R453"/>
  <c r="R454"/>
  <c r="R455"/>
  <c r="R456"/>
  <c r="R457"/>
  <c r="R458"/>
  <c r="R459"/>
  <c r="R460"/>
  <c r="R461"/>
  <c r="R462"/>
  <c r="R463"/>
  <c r="R464"/>
  <c r="R465"/>
  <c r="R466"/>
  <c r="R467"/>
  <c r="R468"/>
  <c r="R469"/>
  <c r="R470"/>
  <c r="R471"/>
  <c r="R472"/>
  <c r="R473"/>
  <c r="R474"/>
  <c r="R475"/>
  <c r="R476"/>
  <c r="R477"/>
  <c r="R478"/>
  <c r="R479"/>
  <c r="R480"/>
  <c r="R481"/>
  <c r="R482"/>
  <c r="R483"/>
  <c r="R484"/>
  <c r="R485"/>
  <c r="R486"/>
  <c r="R487"/>
  <c r="R488"/>
  <c r="R489"/>
  <c r="R490"/>
  <c r="R491"/>
  <c r="R492"/>
  <c r="R493"/>
  <c r="R494"/>
  <c r="R495"/>
  <c r="R496"/>
  <c r="R497"/>
  <c r="R498"/>
  <c r="R499"/>
  <c r="R500"/>
  <c r="R501"/>
  <c r="R502"/>
  <c r="R503"/>
  <c r="R504"/>
  <c r="R505"/>
  <c r="R506"/>
  <c r="R507"/>
  <c r="R508"/>
  <c r="R509"/>
  <c r="R510"/>
  <c r="R511"/>
  <c r="R512"/>
  <c r="R513"/>
  <c r="R514"/>
  <c r="R515"/>
  <c r="R516"/>
  <c r="R517"/>
  <c r="R518"/>
  <c r="R519"/>
  <c r="R520"/>
  <c r="R521"/>
  <c r="R522"/>
  <c r="R523"/>
  <c r="R524"/>
  <c r="R525"/>
  <c r="R526"/>
  <c r="R527"/>
  <c r="R528"/>
  <c r="R529"/>
  <c r="R530"/>
  <c r="R531"/>
  <c r="R532"/>
  <c r="R533"/>
  <c r="R32"/>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U147"/>
  <c r="U148"/>
  <c r="U149"/>
  <c r="U150"/>
  <c r="U151"/>
  <c r="U152"/>
  <c r="U153"/>
  <c r="U154"/>
  <c r="U155"/>
  <c r="U156"/>
  <c r="U157"/>
  <c r="U158"/>
  <c r="U159"/>
  <c r="U160"/>
  <c r="U161"/>
  <c r="U162"/>
  <c r="U163"/>
  <c r="U164"/>
  <c r="U165"/>
  <c r="U166"/>
  <c r="U167"/>
  <c r="U168"/>
  <c r="U169"/>
  <c r="U170"/>
  <c r="U171"/>
  <c r="U172"/>
  <c r="U173"/>
  <c r="U174"/>
  <c r="U175"/>
  <c r="U176"/>
  <c r="U177"/>
  <c r="U178"/>
  <c r="U179"/>
  <c r="U180"/>
  <c r="U181"/>
  <c r="U182"/>
  <c r="U183"/>
  <c r="U184"/>
  <c r="U185"/>
  <c r="U186"/>
  <c r="U187"/>
  <c r="U188"/>
  <c r="U189"/>
  <c r="U190"/>
  <c r="U191"/>
  <c r="U192"/>
  <c r="U193"/>
  <c r="U194"/>
  <c r="U195"/>
  <c r="U196"/>
  <c r="U197"/>
  <c r="U198"/>
  <c r="U199"/>
  <c r="U200"/>
  <c r="U201"/>
  <c r="U202"/>
  <c r="U203"/>
  <c r="U204"/>
  <c r="U205"/>
  <c r="U206"/>
  <c r="U207"/>
  <c r="U208"/>
  <c r="U209"/>
  <c r="U210"/>
  <c r="U211"/>
  <c r="U212"/>
  <c r="U213"/>
  <c r="U214"/>
  <c r="U215"/>
  <c r="U216"/>
  <c r="U217"/>
  <c r="U218"/>
  <c r="U219"/>
  <c r="U220"/>
  <c r="U221"/>
  <c r="U222"/>
  <c r="U223"/>
  <c r="U224"/>
  <c r="U225"/>
  <c r="U226"/>
  <c r="U227"/>
  <c r="U228"/>
  <c r="U229"/>
  <c r="U230"/>
  <c r="U231"/>
  <c r="U232"/>
  <c r="U233"/>
  <c r="U234"/>
  <c r="U235"/>
  <c r="U236"/>
  <c r="U237"/>
  <c r="U238"/>
  <c r="U239"/>
  <c r="U240"/>
  <c r="U241"/>
  <c r="U242"/>
  <c r="U243"/>
  <c r="U244"/>
  <c r="U245"/>
  <c r="U246"/>
  <c r="U247"/>
  <c r="U248"/>
  <c r="U249"/>
  <c r="U250"/>
  <c r="U251"/>
  <c r="U252"/>
  <c r="U253"/>
  <c r="U254"/>
  <c r="U255"/>
  <c r="U256"/>
  <c r="U257"/>
  <c r="U258"/>
  <c r="U259"/>
  <c r="U260"/>
  <c r="U261"/>
  <c r="U262"/>
  <c r="U263"/>
  <c r="U264"/>
  <c r="U265"/>
  <c r="U266"/>
  <c r="U267"/>
  <c r="U268"/>
  <c r="U269"/>
  <c r="U270"/>
  <c r="U271"/>
  <c r="U272"/>
  <c r="U273"/>
  <c r="U274"/>
  <c r="U275"/>
  <c r="U276"/>
  <c r="U277"/>
  <c r="U278"/>
  <c r="U279"/>
  <c r="U280"/>
  <c r="U281"/>
  <c r="U282"/>
  <c r="U283"/>
  <c r="U284"/>
  <c r="U285"/>
  <c r="U286"/>
  <c r="U287"/>
  <c r="U288"/>
  <c r="U289"/>
  <c r="U290"/>
  <c r="U291"/>
  <c r="U292"/>
  <c r="U293"/>
  <c r="U294"/>
  <c r="U295"/>
  <c r="U296"/>
  <c r="U297"/>
  <c r="U298"/>
  <c r="U299"/>
  <c r="U300"/>
  <c r="U301"/>
  <c r="U302"/>
  <c r="U303"/>
  <c r="U304"/>
  <c r="U305"/>
  <c r="U306"/>
  <c r="U307"/>
  <c r="U308"/>
  <c r="U309"/>
  <c r="U310"/>
  <c r="U311"/>
  <c r="U312"/>
  <c r="U313"/>
  <c r="U314"/>
  <c r="U315"/>
  <c r="U316"/>
  <c r="U317"/>
  <c r="U318"/>
  <c r="U319"/>
  <c r="U320"/>
  <c r="U321"/>
  <c r="U322"/>
  <c r="U323"/>
  <c r="U324"/>
  <c r="U325"/>
  <c r="U326"/>
  <c r="U327"/>
  <c r="U328"/>
  <c r="U329"/>
  <c r="U330"/>
  <c r="U331"/>
  <c r="U332"/>
  <c r="U333"/>
  <c r="U334"/>
  <c r="U335"/>
  <c r="U336"/>
  <c r="U337"/>
  <c r="U338"/>
  <c r="U339"/>
  <c r="U340"/>
  <c r="U341"/>
  <c r="U342"/>
  <c r="U343"/>
  <c r="U344"/>
  <c r="U345"/>
  <c r="U346"/>
  <c r="U347"/>
  <c r="U348"/>
  <c r="U349"/>
  <c r="U350"/>
  <c r="U351"/>
  <c r="U352"/>
  <c r="U353"/>
  <c r="U354"/>
  <c r="U355"/>
  <c r="U356"/>
  <c r="U357"/>
  <c r="U358"/>
  <c r="U359"/>
  <c r="U360"/>
  <c r="U361"/>
  <c r="U362"/>
  <c r="U363"/>
  <c r="U364"/>
  <c r="U365"/>
  <c r="U366"/>
  <c r="U367"/>
  <c r="U368"/>
  <c r="U369"/>
  <c r="U370"/>
  <c r="U371"/>
  <c r="U372"/>
  <c r="U373"/>
  <c r="U374"/>
  <c r="U375"/>
  <c r="U376"/>
  <c r="U377"/>
  <c r="U378"/>
  <c r="U379"/>
  <c r="U380"/>
  <c r="U381"/>
  <c r="U382"/>
  <c r="U383"/>
  <c r="U384"/>
  <c r="U385"/>
  <c r="U386"/>
  <c r="U387"/>
  <c r="U388"/>
  <c r="U389"/>
  <c r="U390"/>
  <c r="U391"/>
  <c r="U392"/>
  <c r="U393"/>
  <c r="U394"/>
  <c r="U395"/>
  <c r="U396"/>
  <c r="U397"/>
  <c r="U398"/>
  <c r="U399"/>
  <c r="U400"/>
  <c r="U401"/>
  <c r="U402"/>
  <c r="U403"/>
  <c r="U404"/>
  <c r="U405"/>
  <c r="U406"/>
  <c r="U407"/>
  <c r="U408"/>
  <c r="U409"/>
  <c r="U410"/>
  <c r="U411"/>
  <c r="U412"/>
  <c r="U413"/>
  <c r="U414"/>
  <c r="U415"/>
  <c r="U416"/>
  <c r="U417"/>
  <c r="U418"/>
  <c r="U419"/>
  <c r="U420"/>
  <c r="U421"/>
  <c r="U422"/>
  <c r="U423"/>
  <c r="U424"/>
  <c r="U425"/>
  <c r="U426"/>
  <c r="U427"/>
  <c r="U428"/>
  <c r="U429"/>
  <c r="U430"/>
  <c r="U431"/>
  <c r="U432"/>
  <c r="U433"/>
  <c r="U434"/>
  <c r="U435"/>
  <c r="U436"/>
  <c r="U437"/>
  <c r="U438"/>
  <c r="U439"/>
  <c r="U440"/>
  <c r="U441"/>
  <c r="U442"/>
  <c r="U443"/>
  <c r="U444"/>
  <c r="U445"/>
  <c r="U446"/>
  <c r="U447"/>
  <c r="U448"/>
  <c r="U449"/>
  <c r="U450"/>
  <c r="U451"/>
  <c r="U452"/>
  <c r="U453"/>
  <c r="U454"/>
  <c r="U455"/>
  <c r="U456"/>
  <c r="U457"/>
  <c r="U458"/>
  <c r="U459"/>
  <c r="U460"/>
  <c r="U461"/>
  <c r="U462"/>
  <c r="U463"/>
  <c r="U464"/>
  <c r="U465"/>
  <c r="U466"/>
  <c r="U467"/>
  <c r="U468"/>
  <c r="U469"/>
  <c r="U470"/>
  <c r="U471"/>
  <c r="U472"/>
  <c r="U473"/>
  <c r="U474"/>
  <c r="U475"/>
  <c r="U476"/>
  <c r="U477"/>
  <c r="U478"/>
  <c r="U479"/>
  <c r="U480"/>
  <c r="U481"/>
  <c r="U482"/>
  <c r="U483"/>
  <c r="U484"/>
  <c r="U485"/>
  <c r="U486"/>
  <c r="U487"/>
  <c r="U488"/>
  <c r="U489"/>
  <c r="U490"/>
  <c r="U491"/>
  <c r="U492"/>
  <c r="U493"/>
  <c r="U494"/>
  <c r="U495"/>
  <c r="U496"/>
  <c r="U497"/>
  <c r="U498"/>
  <c r="U499"/>
  <c r="U500"/>
  <c r="U501"/>
  <c r="U502"/>
  <c r="U503"/>
  <c r="U504"/>
  <c r="U505"/>
  <c r="U506"/>
  <c r="U507"/>
  <c r="U508"/>
  <c r="U509"/>
  <c r="U510"/>
  <c r="U511"/>
  <c r="U512"/>
  <c r="U513"/>
  <c r="U514"/>
  <c r="U515"/>
  <c r="U516"/>
  <c r="U517"/>
  <c r="U518"/>
  <c r="U519"/>
  <c r="U520"/>
  <c r="U521"/>
  <c r="U522"/>
  <c r="U523"/>
  <c r="U524"/>
  <c r="U525"/>
  <c r="U526"/>
  <c r="U527"/>
  <c r="U528"/>
  <c r="U529"/>
  <c r="U530"/>
  <c r="U531"/>
  <c r="U532"/>
  <c r="U533"/>
  <c r="U534"/>
  <c r="U535"/>
  <c r="U536"/>
  <c r="U537"/>
  <c r="U538"/>
  <c r="U539"/>
  <c r="U540"/>
  <c r="U541"/>
  <c r="U542"/>
  <c r="U543"/>
  <c r="U544"/>
  <c r="U545"/>
  <c r="U546"/>
  <c r="U547"/>
  <c r="U548"/>
  <c r="U549"/>
  <c r="U550"/>
  <c r="U551"/>
  <c r="U552"/>
  <c r="U553"/>
  <c r="U554"/>
  <c r="U555"/>
  <c r="U556"/>
  <c r="U557"/>
  <c r="U558"/>
  <c r="U559"/>
  <c r="U560"/>
  <c r="U561"/>
  <c r="U562"/>
  <c r="U563"/>
  <c r="U564"/>
  <c r="U565"/>
  <c r="U566"/>
  <c r="U567"/>
  <c r="U568"/>
  <c r="U569"/>
  <c r="U570"/>
  <c r="U571"/>
  <c r="U572"/>
  <c r="U573"/>
  <c r="U574"/>
  <c r="U575"/>
  <c r="U576"/>
  <c r="U577"/>
  <c r="U578"/>
  <c r="U579"/>
  <c r="U580"/>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T147"/>
  <c r="T148"/>
  <c r="T149"/>
  <c r="T150"/>
  <c r="T151"/>
  <c r="T152"/>
  <c r="T153"/>
  <c r="T154"/>
  <c r="T155"/>
  <c r="T156"/>
  <c r="T157"/>
  <c r="T158"/>
  <c r="T159"/>
  <c r="T160"/>
  <c r="T161"/>
  <c r="T162"/>
  <c r="T163"/>
  <c r="T164"/>
  <c r="T165"/>
  <c r="T166"/>
  <c r="T167"/>
  <c r="T168"/>
  <c r="T169"/>
  <c r="T170"/>
  <c r="T171"/>
  <c r="T172"/>
  <c r="T173"/>
  <c r="T174"/>
  <c r="T175"/>
  <c r="T176"/>
  <c r="T177"/>
  <c r="T178"/>
  <c r="T179"/>
  <c r="T180"/>
  <c r="T181"/>
  <c r="T182"/>
  <c r="T183"/>
  <c r="T184"/>
  <c r="T185"/>
  <c r="T186"/>
  <c r="T187"/>
  <c r="T188"/>
  <c r="T189"/>
  <c r="T190"/>
  <c r="T191"/>
  <c r="T192"/>
  <c r="T193"/>
  <c r="T194"/>
  <c r="T195"/>
  <c r="T196"/>
  <c r="T197"/>
  <c r="T198"/>
  <c r="T199"/>
  <c r="T200"/>
  <c r="T201"/>
  <c r="T202"/>
  <c r="T203"/>
  <c r="T204"/>
  <c r="T205"/>
  <c r="T206"/>
  <c r="T207"/>
  <c r="T208"/>
  <c r="T209"/>
  <c r="T210"/>
  <c r="T211"/>
  <c r="T212"/>
  <c r="T213"/>
  <c r="T214"/>
  <c r="T215"/>
  <c r="T216"/>
  <c r="T217"/>
  <c r="T218"/>
  <c r="T219"/>
  <c r="T220"/>
  <c r="T221"/>
  <c r="T222"/>
  <c r="T223"/>
  <c r="T224"/>
  <c r="T225"/>
  <c r="T226"/>
  <c r="T227"/>
  <c r="T228"/>
  <c r="T229"/>
  <c r="T230"/>
  <c r="T231"/>
  <c r="T232"/>
  <c r="T233"/>
  <c r="T234"/>
  <c r="T235"/>
  <c r="T236"/>
  <c r="T237"/>
  <c r="T238"/>
  <c r="T239"/>
  <c r="T240"/>
  <c r="T241"/>
  <c r="T242"/>
  <c r="T243"/>
  <c r="T244"/>
  <c r="T245"/>
  <c r="T246"/>
  <c r="T247"/>
  <c r="T248"/>
  <c r="T249"/>
  <c r="T250"/>
  <c r="T251"/>
  <c r="T252"/>
  <c r="T253"/>
  <c r="T254"/>
  <c r="T255"/>
  <c r="T256"/>
  <c r="T257"/>
  <c r="T258"/>
  <c r="T259"/>
  <c r="T260"/>
  <c r="T261"/>
  <c r="T262"/>
  <c r="T263"/>
  <c r="T264"/>
  <c r="T265"/>
  <c r="T266"/>
  <c r="T267"/>
  <c r="T268"/>
  <c r="T269"/>
  <c r="T270"/>
  <c r="T271"/>
  <c r="T272"/>
  <c r="T273"/>
  <c r="T274"/>
  <c r="T275"/>
  <c r="T276"/>
  <c r="T277"/>
  <c r="T278"/>
  <c r="T279"/>
  <c r="T280"/>
  <c r="T281"/>
  <c r="T282"/>
  <c r="T283"/>
  <c r="T284"/>
  <c r="T285"/>
  <c r="T286"/>
  <c r="T287"/>
  <c r="T288"/>
  <c r="T289"/>
  <c r="T290"/>
  <c r="T291"/>
  <c r="T292"/>
  <c r="T293"/>
  <c r="T294"/>
  <c r="T295"/>
  <c r="T296"/>
  <c r="T297"/>
  <c r="T298"/>
  <c r="T299"/>
  <c r="T300"/>
  <c r="T301"/>
  <c r="T302"/>
  <c r="T303"/>
  <c r="T304"/>
  <c r="T305"/>
  <c r="T306"/>
  <c r="T307"/>
  <c r="T308"/>
  <c r="T309"/>
  <c r="T310"/>
  <c r="T311"/>
  <c r="T312"/>
  <c r="T313"/>
  <c r="T314"/>
  <c r="T315"/>
  <c r="T316"/>
  <c r="T317"/>
  <c r="T318"/>
  <c r="T319"/>
  <c r="T320"/>
  <c r="T321"/>
  <c r="T322"/>
  <c r="T323"/>
  <c r="T324"/>
  <c r="T325"/>
  <c r="T326"/>
  <c r="T327"/>
  <c r="T328"/>
  <c r="T329"/>
  <c r="T330"/>
  <c r="T331"/>
  <c r="T332"/>
  <c r="T333"/>
  <c r="T334"/>
  <c r="T335"/>
  <c r="T336"/>
  <c r="T337"/>
  <c r="T338"/>
  <c r="T339"/>
  <c r="T340"/>
  <c r="T341"/>
  <c r="T342"/>
  <c r="T343"/>
  <c r="T344"/>
  <c r="T345"/>
  <c r="T346"/>
  <c r="T347"/>
  <c r="T348"/>
  <c r="T349"/>
  <c r="T350"/>
  <c r="T351"/>
  <c r="T352"/>
  <c r="T353"/>
  <c r="T354"/>
  <c r="T355"/>
  <c r="T356"/>
  <c r="T357"/>
  <c r="T358"/>
  <c r="T359"/>
  <c r="T360"/>
  <c r="T361"/>
  <c r="T362"/>
  <c r="T363"/>
  <c r="T364"/>
  <c r="T365"/>
  <c r="T366"/>
  <c r="T367"/>
  <c r="T368"/>
  <c r="T369"/>
  <c r="T370"/>
  <c r="T371"/>
  <c r="T372"/>
  <c r="T373"/>
  <c r="T374"/>
  <c r="T375"/>
  <c r="T376"/>
  <c r="T377"/>
  <c r="T378"/>
  <c r="T379"/>
  <c r="T380"/>
  <c r="T381"/>
  <c r="T382"/>
  <c r="T383"/>
  <c r="T384"/>
  <c r="T385"/>
  <c r="T386"/>
  <c r="T387"/>
  <c r="T388"/>
  <c r="T389"/>
  <c r="T390"/>
  <c r="T391"/>
  <c r="T392"/>
  <c r="T393"/>
  <c r="T394"/>
  <c r="T395"/>
  <c r="T396"/>
  <c r="T397"/>
  <c r="T398"/>
  <c r="T399"/>
  <c r="T400"/>
  <c r="T401"/>
  <c r="T402"/>
  <c r="T403"/>
  <c r="T404"/>
  <c r="T405"/>
  <c r="T406"/>
  <c r="T407"/>
  <c r="T408"/>
  <c r="T409"/>
  <c r="T410"/>
  <c r="T411"/>
  <c r="T412"/>
  <c r="T413"/>
  <c r="T414"/>
  <c r="T415"/>
  <c r="T416"/>
  <c r="T417"/>
  <c r="T418"/>
  <c r="T419"/>
  <c r="T420"/>
  <c r="T421"/>
  <c r="T422"/>
  <c r="T423"/>
  <c r="T424"/>
  <c r="T425"/>
  <c r="T426"/>
  <c r="T427"/>
  <c r="T428"/>
  <c r="T429"/>
  <c r="T430"/>
  <c r="T431"/>
  <c r="T432"/>
  <c r="T433"/>
  <c r="T434"/>
  <c r="T435"/>
  <c r="T436"/>
  <c r="T437"/>
  <c r="T438"/>
  <c r="T439"/>
  <c r="T440"/>
  <c r="T441"/>
  <c r="T442"/>
  <c r="T443"/>
  <c r="T444"/>
  <c r="T445"/>
  <c r="T446"/>
  <c r="T447"/>
  <c r="T448"/>
  <c r="T449"/>
  <c r="T450"/>
  <c r="T451"/>
  <c r="T452"/>
  <c r="T453"/>
  <c r="T454"/>
  <c r="T455"/>
  <c r="T456"/>
  <c r="T457"/>
  <c r="T458"/>
  <c r="T459"/>
  <c r="T460"/>
  <c r="T461"/>
  <c r="T462"/>
  <c r="T463"/>
  <c r="T464"/>
  <c r="T465"/>
  <c r="T466"/>
  <c r="T467"/>
  <c r="T468"/>
  <c r="T469"/>
  <c r="T470"/>
  <c r="T471"/>
  <c r="T472"/>
  <c r="T473"/>
  <c r="T474"/>
  <c r="T475"/>
  <c r="T476"/>
  <c r="T477"/>
  <c r="T478"/>
  <c r="T479"/>
  <c r="T480"/>
  <c r="T481"/>
  <c r="T482"/>
  <c r="T483"/>
  <c r="T484"/>
  <c r="T485"/>
  <c r="T486"/>
  <c r="T487"/>
  <c r="T488"/>
  <c r="T489"/>
  <c r="T490"/>
  <c r="T491"/>
  <c r="T492"/>
  <c r="T493"/>
  <c r="T494"/>
  <c r="T495"/>
  <c r="T496"/>
  <c r="T497"/>
  <c r="T498"/>
  <c r="T499"/>
  <c r="T500"/>
  <c r="T501"/>
  <c r="T502"/>
  <c r="T503"/>
  <c r="T504"/>
  <c r="T505"/>
  <c r="T506"/>
  <c r="T507"/>
  <c r="T508"/>
  <c r="T509"/>
  <c r="T510"/>
  <c r="T511"/>
  <c r="T512"/>
  <c r="T513"/>
  <c r="T514"/>
  <c r="T515"/>
  <c r="T516"/>
  <c r="T517"/>
  <c r="T518"/>
  <c r="T519"/>
  <c r="T520"/>
  <c r="T521"/>
  <c r="T522"/>
  <c r="T523"/>
  <c r="T524"/>
  <c r="T525"/>
  <c r="T526"/>
  <c r="T527"/>
  <c r="T528"/>
  <c r="T529"/>
  <c r="T530"/>
  <c r="T531"/>
  <c r="T532"/>
  <c r="T533"/>
  <c r="T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S147"/>
  <c r="S148"/>
  <c r="S149"/>
  <c r="S150"/>
  <c r="S151"/>
  <c r="S152"/>
  <c r="S153"/>
  <c r="S154"/>
  <c r="S155"/>
  <c r="S156"/>
  <c r="S157"/>
  <c r="S158"/>
  <c r="S159"/>
  <c r="S160"/>
  <c r="S161"/>
  <c r="S162"/>
  <c r="S163"/>
  <c r="S164"/>
  <c r="S165"/>
  <c r="S166"/>
  <c r="S167"/>
  <c r="S168"/>
  <c r="S169"/>
  <c r="S170"/>
  <c r="S171"/>
  <c r="S172"/>
  <c r="S173"/>
  <c r="S174"/>
  <c r="S175"/>
  <c r="S176"/>
  <c r="S177"/>
  <c r="S178"/>
  <c r="S179"/>
  <c r="S180"/>
  <c r="S181"/>
  <c r="S182"/>
  <c r="S183"/>
  <c r="S184"/>
  <c r="S185"/>
  <c r="S186"/>
  <c r="S187"/>
  <c r="S188"/>
  <c r="S189"/>
  <c r="S190"/>
  <c r="S191"/>
  <c r="S192"/>
  <c r="S193"/>
  <c r="S194"/>
  <c r="S195"/>
  <c r="S196"/>
  <c r="S197"/>
  <c r="S198"/>
  <c r="S199"/>
  <c r="S200"/>
  <c r="S201"/>
  <c r="S202"/>
  <c r="S203"/>
  <c r="S204"/>
  <c r="S205"/>
  <c r="S206"/>
  <c r="S207"/>
  <c r="S208"/>
  <c r="S209"/>
  <c r="S210"/>
  <c r="S211"/>
  <c r="S212"/>
  <c r="S213"/>
  <c r="S214"/>
  <c r="S215"/>
  <c r="S216"/>
  <c r="S217"/>
  <c r="S218"/>
  <c r="S219"/>
  <c r="S220"/>
  <c r="S221"/>
  <c r="S222"/>
  <c r="S223"/>
  <c r="S224"/>
  <c r="S225"/>
  <c r="S226"/>
  <c r="S227"/>
  <c r="S228"/>
  <c r="S229"/>
  <c r="S230"/>
  <c r="S231"/>
  <c r="S232"/>
  <c r="S233"/>
  <c r="S234"/>
  <c r="S235"/>
  <c r="S236"/>
  <c r="S237"/>
  <c r="S238"/>
  <c r="S239"/>
  <c r="S240"/>
  <c r="S241"/>
  <c r="S242"/>
  <c r="S243"/>
  <c r="S244"/>
  <c r="S245"/>
  <c r="S246"/>
  <c r="S247"/>
  <c r="S248"/>
  <c r="S249"/>
  <c r="S250"/>
  <c r="S251"/>
  <c r="S252"/>
  <c r="S253"/>
  <c r="S254"/>
  <c r="S255"/>
  <c r="S256"/>
  <c r="S257"/>
  <c r="S258"/>
  <c r="S259"/>
  <c r="S260"/>
  <c r="S261"/>
  <c r="S262"/>
  <c r="S263"/>
  <c r="S264"/>
  <c r="S265"/>
  <c r="S266"/>
  <c r="S267"/>
  <c r="S268"/>
  <c r="S269"/>
  <c r="S270"/>
  <c r="S271"/>
  <c r="S272"/>
  <c r="S273"/>
  <c r="S274"/>
  <c r="S275"/>
  <c r="S276"/>
  <c r="S277"/>
  <c r="S278"/>
  <c r="S279"/>
  <c r="S280"/>
  <c r="S281"/>
  <c r="S282"/>
  <c r="S283"/>
  <c r="S284"/>
  <c r="S285"/>
  <c r="S286"/>
  <c r="S287"/>
  <c r="S288"/>
  <c r="S289"/>
  <c r="S290"/>
  <c r="S291"/>
  <c r="S292"/>
  <c r="S293"/>
  <c r="S294"/>
  <c r="S295"/>
  <c r="S296"/>
  <c r="S297"/>
  <c r="S298"/>
  <c r="S299"/>
  <c r="S300"/>
  <c r="S301"/>
  <c r="S302"/>
  <c r="S303"/>
  <c r="S304"/>
  <c r="S305"/>
  <c r="S306"/>
  <c r="S307"/>
  <c r="S308"/>
  <c r="S309"/>
  <c r="S310"/>
  <c r="S311"/>
  <c r="S312"/>
  <c r="S313"/>
  <c r="S314"/>
  <c r="S315"/>
  <c r="S316"/>
  <c r="S317"/>
  <c r="S318"/>
  <c r="S319"/>
  <c r="S320"/>
  <c r="S321"/>
  <c r="S322"/>
  <c r="S323"/>
  <c r="S324"/>
  <c r="S325"/>
  <c r="S326"/>
  <c r="S327"/>
  <c r="S328"/>
  <c r="S329"/>
  <c r="S330"/>
  <c r="S331"/>
  <c r="S332"/>
  <c r="S333"/>
  <c r="S334"/>
  <c r="S335"/>
  <c r="S336"/>
  <c r="S337"/>
  <c r="S338"/>
  <c r="S339"/>
  <c r="S340"/>
  <c r="S341"/>
  <c r="S342"/>
  <c r="S343"/>
  <c r="S344"/>
  <c r="S345"/>
  <c r="S346"/>
  <c r="S347"/>
  <c r="S348"/>
  <c r="S349"/>
  <c r="S350"/>
  <c r="S351"/>
  <c r="S352"/>
  <c r="S353"/>
  <c r="S354"/>
  <c r="S355"/>
  <c r="S356"/>
  <c r="S357"/>
  <c r="S358"/>
  <c r="S359"/>
  <c r="S360"/>
  <c r="S361"/>
  <c r="S362"/>
  <c r="S363"/>
  <c r="S364"/>
  <c r="S365"/>
  <c r="S366"/>
  <c r="S367"/>
  <c r="S368"/>
  <c r="S369"/>
  <c r="S370"/>
  <c r="S371"/>
  <c r="S372"/>
  <c r="S373"/>
  <c r="S374"/>
  <c r="S375"/>
  <c r="S376"/>
  <c r="S377"/>
  <c r="S378"/>
  <c r="S379"/>
  <c r="S380"/>
  <c r="S381"/>
  <c r="S382"/>
  <c r="S383"/>
  <c r="S384"/>
  <c r="S385"/>
  <c r="S386"/>
  <c r="S387"/>
  <c r="S388"/>
  <c r="S389"/>
  <c r="S390"/>
  <c r="S391"/>
  <c r="S392"/>
  <c r="S393"/>
  <c r="S394"/>
  <c r="S395"/>
  <c r="S396"/>
  <c r="S397"/>
  <c r="S398"/>
  <c r="S399"/>
  <c r="S400"/>
  <c r="S401"/>
  <c r="S402"/>
  <c r="S403"/>
  <c r="S404"/>
  <c r="S405"/>
  <c r="S406"/>
  <c r="S407"/>
  <c r="S408"/>
  <c r="S409"/>
  <c r="S410"/>
  <c r="S411"/>
  <c r="S412"/>
  <c r="S413"/>
  <c r="S414"/>
  <c r="S415"/>
  <c r="S416"/>
  <c r="S417"/>
  <c r="S418"/>
  <c r="S419"/>
  <c r="S420"/>
  <c r="S421"/>
  <c r="S422"/>
  <c r="S423"/>
  <c r="S424"/>
  <c r="S425"/>
  <c r="S426"/>
  <c r="S427"/>
  <c r="S428"/>
  <c r="S429"/>
  <c r="S430"/>
  <c r="S431"/>
  <c r="S432"/>
  <c r="S433"/>
  <c r="S434"/>
  <c r="S435"/>
  <c r="S436"/>
  <c r="S437"/>
  <c r="S438"/>
  <c r="S439"/>
  <c r="S440"/>
  <c r="S441"/>
  <c r="S442"/>
  <c r="S443"/>
  <c r="S444"/>
  <c r="S445"/>
  <c r="S446"/>
  <c r="S447"/>
  <c r="S448"/>
  <c r="S449"/>
  <c r="S450"/>
  <c r="S451"/>
  <c r="S452"/>
  <c r="S453"/>
  <c r="S454"/>
  <c r="S455"/>
  <c r="S456"/>
  <c r="S457"/>
  <c r="S458"/>
  <c r="S459"/>
  <c r="S460"/>
  <c r="S461"/>
  <c r="S462"/>
  <c r="S463"/>
  <c r="S464"/>
  <c r="S465"/>
  <c r="S466"/>
  <c r="S467"/>
  <c r="S468"/>
  <c r="S469"/>
  <c r="S470"/>
  <c r="S471"/>
  <c r="S472"/>
  <c r="S473"/>
  <c r="S474"/>
  <c r="S475"/>
  <c r="S476"/>
  <c r="S477"/>
  <c r="S478"/>
  <c r="S479"/>
  <c r="S480"/>
  <c r="S481"/>
  <c r="S482"/>
  <c r="S483"/>
  <c r="S484"/>
  <c r="S485"/>
  <c r="S486"/>
  <c r="S487"/>
  <c r="S488"/>
  <c r="S489"/>
  <c r="S490"/>
  <c r="S491"/>
  <c r="S492"/>
  <c r="S493"/>
  <c r="S494"/>
  <c r="S495"/>
  <c r="S496"/>
  <c r="S497"/>
  <c r="S498"/>
  <c r="S499"/>
  <c r="S500"/>
  <c r="S501"/>
  <c r="S502"/>
  <c r="S503"/>
  <c r="S504"/>
  <c r="S505"/>
  <c r="S506"/>
  <c r="S507"/>
  <c r="S508"/>
  <c r="S509"/>
  <c r="S510"/>
  <c r="S511"/>
  <c r="S512"/>
  <c r="S513"/>
  <c r="S514"/>
  <c r="S515"/>
  <c r="S516"/>
  <c r="S517"/>
  <c r="S518"/>
  <c r="S519"/>
  <c r="S520"/>
  <c r="S521"/>
  <c r="S522"/>
  <c r="S523"/>
  <c r="S524"/>
  <c r="S525"/>
  <c r="S526"/>
  <c r="S527"/>
  <c r="S528"/>
  <c r="S529"/>
  <c r="S530"/>
  <c r="S531"/>
  <c r="S532"/>
  <c r="S533"/>
  <c r="S32"/>
  <c r="E5"/>
  <c r="E4"/>
  <c r="AC3"/>
  <c r="AE3" s="1" a="1"/>
  <c r="AE3" s="1"/>
  <c r="AC4"/>
  <c r="AD4" s="1" a="1"/>
  <c r="AD4" s="1"/>
  <c r="AC5"/>
  <c r="AD5" s="1" a="1"/>
  <c r="AD5" s="1"/>
  <c r="AC6"/>
  <c r="AD6" s="1" a="1"/>
  <c r="AD6" s="1"/>
  <c r="AC7"/>
  <c r="AD7" s="1" a="1"/>
  <c r="AD7" s="1"/>
  <c r="AC8"/>
  <c r="AE8" s="1" a="1"/>
  <c r="AE8" s="1"/>
  <c r="AC9"/>
  <c r="AD9" s="1" a="1"/>
  <c r="AD9" s="1"/>
  <c r="AC10"/>
  <c r="AD10" s="1" a="1"/>
  <c r="AD10" s="1"/>
  <c r="AC11"/>
  <c r="AD11" s="1" a="1"/>
  <c r="AD11" s="1"/>
  <c r="AC12"/>
  <c r="AD12" s="1" a="1"/>
  <c r="AD12" s="1"/>
  <c r="AC13"/>
  <c r="AE13" s="1" a="1"/>
  <c r="AE13" s="1"/>
  <c r="AC14"/>
  <c r="AE14" s="1" a="1"/>
  <c r="AE14" s="1"/>
  <c r="AC15"/>
  <c r="AE15" s="1" a="1"/>
  <c r="AE15" s="1"/>
  <c r="AC16"/>
  <c r="AE16" s="1" a="1"/>
  <c r="AE16" s="1"/>
  <c r="AC17"/>
  <c r="AE17" s="1" a="1"/>
  <c r="AE17" s="1"/>
  <c r="AC18"/>
  <c r="AD18" s="1" a="1"/>
  <c r="AD18" s="1"/>
  <c r="AC19"/>
  <c r="AE19" s="1" a="1"/>
  <c r="AE19" s="1"/>
  <c r="AC20"/>
  <c r="AE20" s="1" a="1"/>
  <c r="AE20" s="1"/>
  <c r="AC21"/>
  <c r="AE21" s="1" a="1"/>
  <c r="AE21" s="1"/>
  <c r="AC22"/>
  <c r="AD22" s="1" a="1"/>
  <c r="AD22" s="1"/>
  <c r="AC23"/>
  <c r="AE23" s="1" a="1"/>
  <c r="AE23" s="1"/>
  <c r="AC24"/>
  <c r="AE24" s="1" a="1"/>
  <c r="AE24" s="1"/>
  <c r="AC25"/>
  <c r="AE25" s="1" a="1"/>
  <c r="AE25" s="1"/>
  <c r="AC26"/>
  <c r="AD26" s="1" a="1"/>
  <c r="AD26" s="1"/>
  <c r="AC27"/>
  <c r="AE27" s="1" a="1"/>
  <c r="AE27" s="1"/>
  <c r="AC28"/>
  <c r="AE28" s="1" a="1"/>
  <c r="AE28" s="1"/>
  <c r="AC29"/>
  <c r="AE29" s="1" a="1"/>
  <c r="AE29" s="1"/>
  <c r="AC30"/>
  <c r="AD30" s="1" a="1"/>
  <c r="AD30" s="1"/>
  <c r="AC31"/>
  <c r="AC2"/>
  <c r="AE2" s="1" a="1"/>
  <c r="AE2" s="1"/>
  <c r="AC1"/>
  <c r="AD1" s="1" a="1"/>
  <c r="AD1" s="1"/>
  <c r="P533"/>
  <c r="Q533"/>
  <c r="P532"/>
  <c r="Q532"/>
  <c r="P531"/>
  <c r="Q531"/>
  <c r="P530"/>
  <c r="Q530"/>
  <c r="P529"/>
  <c r="Q529"/>
  <c r="P528"/>
  <c r="Q528"/>
  <c r="P527"/>
  <c r="Q527"/>
  <c r="P526"/>
  <c r="Q526"/>
  <c r="P525"/>
  <c r="Q525"/>
  <c r="P524"/>
  <c r="Q524"/>
  <c r="P523"/>
  <c r="Q523"/>
  <c r="P522"/>
  <c r="Q522"/>
  <c r="P521"/>
  <c r="Q521"/>
  <c r="P520"/>
  <c r="Q520"/>
  <c r="P519"/>
  <c r="Q519"/>
  <c r="P518"/>
  <c r="Q518"/>
  <c r="P517"/>
  <c r="Q517"/>
  <c r="P516"/>
  <c r="Q516"/>
  <c r="P515"/>
  <c r="Q515"/>
  <c r="P514"/>
  <c r="Q514"/>
  <c r="P513"/>
  <c r="Q513"/>
  <c r="P512"/>
  <c r="Q512"/>
  <c r="P511"/>
  <c r="Q511"/>
  <c r="P510"/>
  <c r="Q510"/>
  <c r="P509"/>
  <c r="Q509"/>
  <c r="P508"/>
  <c r="Q508"/>
  <c r="P507"/>
  <c r="Q507"/>
  <c r="P506"/>
  <c r="Q506"/>
  <c r="P505"/>
  <c r="Q505"/>
  <c r="P504"/>
  <c r="Q504"/>
  <c r="P503"/>
  <c r="Q503"/>
  <c r="P502"/>
  <c r="Q502"/>
  <c r="P501"/>
  <c r="Q501"/>
  <c r="P500"/>
  <c r="Q500"/>
  <c r="P499"/>
  <c r="Q499"/>
  <c r="P498"/>
  <c r="Q498"/>
  <c r="P497"/>
  <c r="Q497"/>
  <c r="P496"/>
  <c r="Q496"/>
  <c r="P495"/>
  <c r="Q495"/>
  <c r="P494"/>
  <c r="Q494"/>
  <c r="P493"/>
  <c r="Q493"/>
  <c r="P492"/>
  <c r="Q492"/>
  <c r="P491"/>
  <c r="Q491"/>
  <c r="P490"/>
  <c r="Q490"/>
  <c r="P489"/>
  <c r="Q489"/>
  <c r="P488"/>
  <c r="Q488"/>
  <c r="P487"/>
  <c r="Q487"/>
  <c r="P486"/>
  <c r="Q486"/>
  <c r="P485"/>
  <c r="Q485"/>
  <c r="P484"/>
  <c r="Q484"/>
  <c r="P483"/>
  <c r="Q483"/>
  <c r="P482"/>
  <c r="Q482"/>
  <c r="P481"/>
  <c r="Q481"/>
  <c r="P480"/>
  <c r="Q480"/>
  <c r="P479"/>
  <c r="Q479"/>
  <c r="P478"/>
  <c r="Q478"/>
  <c r="P477"/>
  <c r="Q477"/>
  <c r="P476"/>
  <c r="Q476"/>
  <c r="P475"/>
  <c r="Q475"/>
  <c r="P474"/>
  <c r="Q474"/>
  <c r="P473"/>
  <c r="Q473"/>
  <c r="P472"/>
  <c r="Q472"/>
  <c r="P471"/>
  <c r="Q471"/>
  <c r="P470"/>
  <c r="Q470"/>
  <c r="P469"/>
  <c r="Q469"/>
  <c r="P468"/>
  <c r="Q468"/>
  <c r="P467"/>
  <c r="Q467"/>
  <c r="P466"/>
  <c r="Q466"/>
  <c r="P465"/>
  <c r="Q465"/>
  <c r="P464"/>
  <c r="Q464"/>
  <c r="P463"/>
  <c r="Q463"/>
  <c r="P462"/>
  <c r="Q462"/>
  <c r="P461"/>
  <c r="Q461"/>
  <c r="P460"/>
  <c r="Q460"/>
  <c r="P459"/>
  <c r="Q459"/>
  <c r="P458"/>
  <c r="Q458"/>
  <c r="P457"/>
  <c r="Q457"/>
  <c r="P456"/>
  <c r="Q456"/>
  <c r="P455"/>
  <c r="Q455"/>
  <c r="P454"/>
  <c r="Q454"/>
  <c r="P453"/>
  <c r="Q453"/>
  <c r="P452"/>
  <c r="Q452"/>
  <c r="P451"/>
  <c r="Q451"/>
  <c r="P450"/>
  <c r="Q450"/>
  <c r="P449"/>
  <c r="Q449"/>
  <c r="P448"/>
  <c r="Q448"/>
  <c r="P447"/>
  <c r="Q447"/>
  <c r="P446"/>
  <c r="Q446"/>
  <c r="P445"/>
  <c r="Q445"/>
  <c r="P444"/>
  <c r="Q444"/>
  <c r="P443"/>
  <c r="Q443"/>
  <c r="P442"/>
  <c r="Q442"/>
  <c r="P441"/>
  <c r="Q441"/>
  <c r="P440"/>
  <c r="Q440"/>
  <c r="P439"/>
  <c r="Q439"/>
  <c r="P438"/>
  <c r="Q438"/>
  <c r="P437"/>
  <c r="Q437"/>
  <c r="P436"/>
  <c r="Q436"/>
  <c r="P435"/>
  <c r="Q435"/>
  <c r="P434"/>
  <c r="Q434"/>
  <c r="P433"/>
  <c r="Q433"/>
  <c r="P432"/>
  <c r="Q432"/>
  <c r="P431"/>
  <c r="Q431"/>
  <c r="P430"/>
  <c r="Q430"/>
  <c r="P429"/>
  <c r="Q429"/>
  <c r="P428"/>
  <c r="Q428"/>
  <c r="P427"/>
  <c r="Q427"/>
  <c r="P426"/>
  <c r="Q426"/>
  <c r="P425"/>
  <c r="Q425"/>
  <c r="P424"/>
  <c r="Q424"/>
  <c r="P423"/>
  <c r="Q423"/>
  <c r="P422"/>
  <c r="Q422"/>
  <c r="P421"/>
  <c r="Q421"/>
  <c r="P420"/>
  <c r="Q420"/>
  <c r="P419"/>
  <c r="Q419"/>
  <c r="P418"/>
  <c r="Q418"/>
  <c r="P417"/>
  <c r="Q417"/>
  <c r="P416"/>
  <c r="Q416"/>
  <c r="P415"/>
  <c r="Q415"/>
  <c r="P414"/>
  <c r="Q414"/>
  <c r="P413"/>
  <c r="Q413"/>
  <c r="P412"/>
  <c r="Q412"/>
  <c r="P411"/>
  <c r="Q411"/>
  <c r="P410"/>
  <c r="Q410"/>
  <c r="P409"/>
  <c r="Q409"/>
  <c r="P408"/>
  <c r="Q408"/>
  <c r="P407"/>
  <c r="Q407"/>
  <c r="P406"/>
  <c r="Q406"/>
  <c r="P405"/>
  <c r="Q405"/>
  <c r="P404"/>
  <c r="Q404"/>
  <c r="P403"/>
  <c r="Q403"/>
  <c r="P402"/>
  <c r="Q402"/>
  <c r="P401"/>
  <c r="Q401"/>
  <c r="P400"/>
  <c r="Q400"/>
  <c r="P399"/>
  <c r="Q399"/>
  <c r="P398"/>
  <c r="Q398"/>
  <c r="P397"/>
  <c r="Q397"/>
  <c r="P396"/>
  <c r="Q396"/>
  <c r="P395"/>
  <c r="Q395"/>
  <c r="P394"/>
  <c r="Q394"/>
  <c r="P393"/>
  <c r="Q393"/>
  <c r="P392"/>
  <c r="Q392"/>
  <c r="P391"/>
  <c r="Q391"/>
  <c r="P390"/>
  <c r="Q390"/>
  <c r="P389"/>
  <c r="Q389"/>
  <c r="P388"/>
  <c r="Q388"/>
  <c r="P387"/>
  <c r="Q387"/>
  <c r="P386"/>
  <c r="Q386"/>
  <c r="P385"/>
  <c r="Q385"/>
  <c r="P384"/>
  <c r="Q384"/>
  <c r="P383"/>
  <c r="Q383"/>
  <c r="P382"/>
  <c r="Q382"/>
  <c r="P381"/>
  <c r="Q381"/>
  <c r="P380"/>
  <c r="Q380"/>
  <c r="P379"/>
  <c r="Q379"/>
  <c r="P378"/>
  <c r="Q378"/>
  <c r="P377"/>
  <c r="Q377"/>
  <c r="P376"/>
  <c r="Q376"/>
  <c r="P375"/>
  <c r="Q375"/>
  <c r="P374"/>
  <c r="Q374"/>
  <c r="P373"/>
  <c r="Q373"/>
  <c r="P372"/>
  <c r="Q372"/>
  <c r="P371"/>
  <c r="Q371"/>
  <c r="P370"/>
  <c r="Q370"/>
  <c r="P369"/>
  <c r="Q369"/>
  <c r="P368"/>
  <c r="Q368"/>
  <c r="P367"/>
  <c r="Q367"/>
  <c r="P366"/>
  <c r="Q366"/>
  <c r="P365"/>
  <c r="Q365"/>
  <c r="P364"/>
  <c r="Q364"/>
  <c r="P363"/>
  <c r="Q363"/>
  <c r="P362"/>
  <c r="Q362"/>
  <c r="P361"/>
  <c r="Q361"/>
  <c r="P360"/>
  <c r="Q360"/>
  <c r="P359"/>
  <c r="Q359"/>
  <c r="P358"/>
  <c r="Q358"/>
  <c r="P357"/>
  <c r="Q357"/>
  <c r="P356"/>
  <c r="Q356"/>
  <c r="P355"/>
  <c r="Q355"/>
  <c r="P354"/>
  <c r="Q354"/>
  <c r="P353"/>
  <c r="Q353"/>
  <c r="P352"/>
  <c r="Q352"/>
  <c r="P351"/>
  <c r="Q351"/>
  <c r="P350"/>
  <c r="Q350"/>
  <c r="P349"/>
  <c r="Q349"/>
  <c r="P348"/>
  <c r="Q348"/>
  <c r="P347"/>
  <c r="Q347"/>
  <c r="P346"/>
  <c r="Q346"/>
  <c r="P345"/>
  <c r="Q345"/>
  <c r="P344"/>
  <c r="Q344"/>
  <c r="P343"/>
  <c r="Q343"/>
  <c r="P342"/>
  <c r="Q342"/>
  <c r="P341"/>
  <c r="Q341"/>
  <c r="P340"/>
  <c r="Q340"/>
  <c r="P339"/>
  <c r="Q339"/>
  <c r="P338"/>
  <c r="Q338"/>
  <c r="P337"/>
  <c r="Q337"/>
  <c r="P336"/>
  <c r="Q336"/>
  <c r="P335"/>
  <c r="Q335"/>
  <c r="P334"/>
  <c r="Q334"/>
  <c r="P333"/>
  <c r="Q333"/>
  <c r="P332"/>
  <c r="Q332"/>
  <c r="P331"/>
  <c r="Q331"/>
  <c r="P330"/>
  <c r="Q330"/>
  <c r="P329"/>
  <c r="Q329"/>
  <c r="P328"/>
  <c r="Q328"/>
  <c r="P327"/>
  <c r="Q327"/>
  <c r="P326"/>
  <c r="Q326"/>
  <c r="P325"/>
  <c r="Q325"/>
  <c r="P324"/>
  <c r="Q324"/>
  <c r="P323"/>
  <c r="Q323"/>
  <c r="P322"/>
  <c r="Q322"/>
  <c r="P321"/>
  <c r="Q321"/>
  <c r="P320"/>
  <c r="Q320"/>
  <c r="P319"/>
  <c r="Q319"/>
  <c r="P318"/>
  <c r="Q318"/>
  <c r="P317"/>
  <c r="Q317"/>
  <c r="P316"/>
  <c r="Q316"/>
  <c r="P315"/>
  <c r="Q315"/>
  <c r="P314"/>
  <c r="Q314"/>
  <c r="P313"/>
  <c r="Q313"/>
  <c r="P312"/>
  <c r="Q312"/>
  <c r="P311"/>
  <c r="Q311"/>
  <c r="P310"/>
  <c r="Q310"/>
  <c r="P309"/>
  <c r="Q309"/>
  <c r="P308"/>
  <c r="Q308"/>
  <c r="P307"/>
  <c r="Q307"/>
  <c r="P306"/>
  <c r="Q306"/>
  <c r="P305"/>
  <c r="Q305"/>
  <c r="P304"/>
  <c r="Q304"/>
  <c r="P303"/>
  <c r="Q303"/>
  <c r="P302"/>
  <c r="Q302"/>
  <c r="P301"/>
  <c r="Q301"/>
  <c r="P300"/>
  <c r="Q300"/>
  <c r="P299"/>
  <c r="Q299"/>
  <c r="P298"/>
  <c r="Q298"/>
  <c r="P297"/>
  <c r="Q297"/>
  <c r="P296"/>
  <c r="Q296"/>
  <c r="P295"/>
  <c r="Q295"/>
  <c r="P294"/>
  <c r="Q294"/>
  <c r="P293"/>
  <c r="Q293"/>
  <c r="P292"/>
  <c r="Q292"/>
  <c r="P291"/>
  <c r="Q291"/>
  <c r="P290"/>
  <c r="Q290"/>
  <c r="P289"/>
  <c r="Q289"/>
  <c r="P288"/>
  <c r="Q288"/>
  <c r="P287"/>
  <c r="Q287"/>
  <c r="P286"/>
  <c r="Q286"/>
  <c r="P285"/>
  <c r="Q285"/>
  <c r="P284"/>
  <c r="Q284"/>
  <c r="P283"/>
  <c r="Q283"/>
  <c r="P282"/>
  <c r="Q282"/>
  <c r="P281"/>
  <c r="Q281"/>
  <c r="P280"/>
  <c r="Q280"/>
  <c r="P279"/>
  <c r="Q279"/>
  <c r="P278"/>
  <c r="Q278"/>
  <c r="P277"/>
  <c r="Q277"/>
  <c r="P276"/>
  <c r="Q276"/>
  <c r="P275"/>
  <c r="Q275"/>
  <c r="P274"/>
  <c r="Q274"/>
  <c r="P273"/>
  <c r="Q273"/>
  <c r="P272"/>
  <c r="Q272"/>
  <c r="P271"/>
  <c r="Q271"/>
  <c r="P270"/>
  <c r="Q270"/>
  <c r="P269"/>
  <c r="Q269"/>
  <c r="P268"/>
  <c r="Q268"/>
  <c r="P267"/>
  <c r="Q267"/>
  <c r="P266"/>
  <c r="Q266"/>
  <c r="P265"/>
  <c r="Q265"/>
  <c r="P264"/>
  <c r="Q264"/>
  <c r="P263"/>
  <c r="Q263"/>
  <c r="P262"/>
  <c r="Q262"/>
  <c r="P261"/>
  <c r="Q261"/>
  <c r="P260"/>
  <c r="Q260"/>
  <c r="P259"/>
  <c r="Q259"/>
  <c r="P258"/>
  <c r="Q258"/>
  <c r="P257"/>
  <c r="Q257"/>
  <c r="P256"/>
  <c r="Q256"/>
  <c r="P255"/>
  <c r="Q255"/>
  <c r="P254"/>
  <c r="Q254"/>
  <c r="P253"/>
  <c r="Q253"/>
  <c r="P252"/>
  <c r="Q252"/>
  <c r="P251"/>
  <c r="Q251"/>
  <c r="P250"/>
  <c r="Q250"/>
  <c r="P249"/>
  <c r="Q249"/>
  <c r="P248"/>
  <c r="Q248"/>
  <c r="P247"/>
  <c r="Q247"/>
  <c r="P246"/>
  <c r="Q246"/>
  <c r="P245"/>
  <c r="Q245"/>
  <c r="P244"/>
  <c r="Q244"/>
  <c r="P243"/>
  <c r="Q243"/>
  <c r="P242"/>
  <c r="Q242"/>
  <c r="P241"/>
  <c r="Q241"/>
  <c r="P240"/>
  <c r="Q240"/>
  <c r="P239"/>
  <c r="Q239"/>
  <c r="P238"/>
  <c r="Q238"/>
  <c r="P237"/>
  <c r="Q237"/>
  <c r="P236"/>
  <c r="Q236"/>
  <c r="P235"/>
  <c r="Q235"/>
  <c r="P234"/>
  <c r="Q234"/>
  <c r="P233"/>
  <c r="Q233"/>
  <c r="P232"/>
  <c r="Q232"/>
  <c r="P231"/>
  <c r="Q231"/>
  <c r="P230"/>
  <c r="Q230"/>
  <c r="P229"/>
  <c r="Q229"/>
  <c r="P228"/>
  <c r="Q228"/>
  <c r="P227"/>
  <c r="Q227"/>
  <c r="P226"/>
  <c r="Q226"/>
  <c r="P225"/>
  <c r="Q225"/>
  <c r="P224"/>
  <c r="Q224"/>
  <c r="P223"/>
  <c r="Q223"/>
  <c r="P222"/>
  <c r="Q222"/>
  <c r="P221"/>
  <c r="Q221"/>
  <c r="P220"/>
  <c r="Q220"/>
  <c r="P219"/>
  <c r="Q219"/>
  <c r="P218"/>
  <c r="Q218"/>
  <c r="P217"/>
  <c r="Q217"/>
  <c r="P216"/>
  <c r="Q216"/>
  <c r="P215"/>
  <c r="Q215"/>
  <c r="P214"/>
  <c r="Q214"/>
  <c r="P213"/>
  <c r="Q213"/>
  <c r="P212"/>
  <c r="Q212"/>
  <c r="P211"/>
  <c r="Q211"/>
  <c r="P210"/>
  <c r="Q210"/>
  <c r="P209"/>
  <c r="Q209"/>
  <c r="P208"/>
  <c r="Q208"/>
  <c r="P207"/>
  <c r="Q207"/>
  <c r="P206"/>
  <c r="Q206"/>
  <c r="P205"/>
  <c r="Q205"/>
  <c r="P204"/>
  <c r="Q204"/>
  <c r="P203"/>
  <c r="Q203"/>
  <c r="P202"/>
  <c r="Q202"/>
  <c r="P201"/>
  <c r="Q201"/>
  <c r="P200"/>
  <c r="Q200"/>
  <c r="P199"/>
  <c r="Q199"/>
  <c r="P198"/>
  <c r="Q198"/>
  <c r="P197"/>
  <c r="Q197"/>
  <c r="P196"/>
  <c r="Q196"/>
  <c r="P195"/>
  <c r="Q195"/>
  <c r="P194"/>
  <c r="Q194"/>
  <c r="P193"/>
  <c r="Q193"/>
  <c r="P192"/>
  <c r="Q192"/>
  <c r="P191"/>
  <c r="Q191"/>
  <c r="P190"/>
  <c r="Q190"/>
  <c r="P189"/>
  <c r="Q189"/>
  <c r="P188"/>
  <c r="Q188"/>
  <c r="P187"/>
  <c r="Q187"/>
  <c r="P186"/>
  <c r="Q186"/>
  <c r="P185"/>
  <c r="Q185"/>
  <c r="P184"/>
  <c r="Q184"/>
  <c r="P183"/>
  <c r="Q183"/>
  <c r="P182"/>
  <c r="Q182"/>
  <c r="P181"/>
  <c r="Q181"/>
  <c r="P180"/>
  <c r="Q180"/>
  <c r="P179"/>
  <c r="Q179"/>
  <c r="P178"/>
  <c r="Q178"/>
  <c r="P177"/>
  <c r="Q177"/>
  <c r="P176"/>
  <c r="Q176"/>
  <c r="P175"/>
  <c r="Q175"/>
  <c r="P174"/>
  <c r="Q174"/>
  <c r="P173"/>
  <c r="Q173"/>
  <c r="P172"/>
  <c r="Q172"/>
  <c r="P171"/>
  <c r="Q171"/>
  <c r="P170"/>
  <c r="Q170"/>
  <c r="P169"/>
  <c r="Q169"/>
  <c r="P168"/>
  <c r="Q168"/>
  <c r="P167"/>
  <c r="Q167"/>
  <c r="P166"/>
  <c r="Q166"/>
  <c r="P165"/>
  <c r="Q165"/>
  <c r="P164"/>
  <c r="Q164"/>
  <c r="P163"/>
  <c r="Q163"/>
  <c r="P162"/>
  <c r="Q162"/>
  <c r="P161"/>
  <c r="Q161"/>
  <c r="P160"/>
  <c r="Q160"/>
  <c r="P159"/>
  <c r="Q159"/>
  <c r="P158"/>
  <c r="Q158"/>
  <c r="P157"/>
  <c r="Q157"/>
  <c r="P156"/>
  <c r="Q156"/>
  <c r="P155"/>
  <c r="Q155"/>
  <c r="P154"/>
  <c r="Q154"/>
  <c r="P153"/>
  <c r="Q153"/>
  <c r="P152"/>
  <c r="Q152"/>
  <c r="P151"/>
  <c r="Q151"/>
  <c r="P150"/>
  <c r="Q150"/>
  <c r="P149"/>
  <c r="Q149"/>
  <c r="P148"/>
  <c r="Q148"/>
  <c r="P147"/>
  <c r="Q147"/>
  <c r="P146"/>
  <c r="Q146"/>
  <c r="P145"/>
  <c r="Q145"/>
  <c r="P144"/>
  <c r="Q144"/>
  <c r="P143"/>
  <c r="Q143"/>
  <c r="P142"/>
  <c r="Q142"/>
  <c r="P141"/>
  <c r="Q141"/>
  <c r="P140"/>
  <c r="Q140"/>
  <c r="P139"/>
  <c r="Q139"/>
  <c r="P138"/>
  <c r="Q138"/>
  <c r="P137"/>
  <c r="Q137"/>
  <c r="P136"/>
  <c r="Q136"/>
  <c r="P135"/>
  <c r="Q135"/>
  <c r="P134"/>
  <c r="Q134"/>
  <c r="P133"/>
  <c r="Q133"/>
  <c r="P132"/>
  <c r="Q132"/>
  <c r="P131"/>
  <c r="Q131"/>
  <c r="P130"/>
  <c r="Q130"/>
  <c r="P129"/>
  <c r="Q129"/>
  <c r="P128"/>
  <c r="Q128"/>
  <c r="P127"/>
  <c r="Q127"/>
  <c r="P126"/>
  <c r="Q126"/>
  <c r="P125"/>
  <c r="Q125"/>
  <c r="P124"/>
  <c r="Q124"/>
  <c r="P123"/>
  <c r="Q123"/>
  <c r="P122"/>
  <c r="Q122"/>
  <c r="P121"/>
  <c r="Q121"/>
  <c r="P120"/>
  <c r="Q120"/>
  <c r="P119"/>
  <c r="Q119"/>
  <c r="P118"/>
  <c r="Q118"/>
  <c r="P117"/>
  <c r="Q117"/>
  <c r="P116"/>
  <c r="Q116"/>
  <c r="P115"/>
  <c r="Q115"/>
  <c r="P114"/>
  <c r="Q114"/>
  <c r="P113"/>
  <c r="Q113"/>
  <c r="P112"/>
  <c r="Q112"/>
  <c r="P111"/>
  <c r="Q111"/>
  <c r="P110"/>
  <c r="Q110"/>
  <c r="P109"/>
  <c r="Q109"/>
  <c r="P108"/>
  <c r="Q108"/>
  <c r="P107"/>
  <c r="Q107"/>
  <c r="P106"/>
  <c r="Q106"/>
  <c r="P105"/>
  <c r="Q105"/>
  <c r="P104"/>
  <c r="Q104"/>
  <c r="P103"/>
  <c r="Q103"/>
  <c r="P102"/>
  <c r="Q102"/>
  <c r="P101"/>
  <c r="Q101"/>
  <c r="P100"/>
  <c r="Q100"/>
  <c r="P99"/>
  <c r="Q99"/>
  <c r="P98"/>
  <c r="Q98"/>
  <c r="P97"/>
  <c r="Q97"/>
  <c r="P96"/>
  <c r="Q96"/>
  <c r="P95"/>
  <c r="Q95"/>
  <c r="P94"/>
  <c r="Q94"/>
  <c r="P93"/>
  <c r="Q93"/>
  <c r="P92"/>
  <c r="Q92"/>
  <c r="P91"/>
  <c r="Q91"/>
  <c r="P90"/>
  <c r="Q90"/>
  <c r="P89"/>
  <c r="Q89"/>
  <c r="P88"/>
  <c r="Q88"/>
  <c r="P87"/>
  <c r="Q87"/>
  <c r="P86"/>
  <c r="Q86"/>
  <c r="P85"/>
  <c r="Q85"/>
  <c r="P84"/>
  <c r="Q84"/>
  <c r="P83"/>
  <c r="Q83"/>
  <c r="P82"/>
  <c r="Q82"/>
  <c r="P81"/>
  <c r="Q81"/>
  <c r="P80"/>
  <c r="Q80"/>
  <c r="P79"/>
  <c r="Q79"/>
  <c r="P78"/>
  <c r="Q78"/>
  <c r="P77"/>
  <c r="Q77"/>
  <c r="P76"/>
  <c r="Q76"/>
  <c r="P75"/>
  <c r="Q75"/>
  <c r="P74"/>
  <c r="Q74"/>
  <c r="P73"/>
  <c r="Q73"/>
  <c r="P72"/>
  <c r="Q72"/>
  <c r="P71"/>
  <c r="Q71"/>
  <c r="P70"/>
  <c r="Q70"/>
  <c r="P69"/>
  <c r="Q69"/>
  <c r="P68"/>
  <c r="Q68"/>
  <c r="P67"/>
  <c r="Q67"/>
  <c r="P66"/>
  <c r="Q66"/>
  <c r="P65"/>
  <c r="Q65"/>
  <c r="P64"/>
  <c r="Q64"/>
  <c r="P63"/>
  <c r="Q63"/>
  <c r="P62"/>
  <c r="Q62"/>
  <c r="P61"/>
  <c r="Q61"/>
  <c r="P60"/>
  <c r="Q60"/>
  <c r="P59"/>
  <c r="Q59"/>
  <c r="P58"/>
  <c r="Q58"/>
  <c r="P57"/>
  <c r="Q57"/>
  <c r="P56"/>
  <c r="Q56"/>
  <c r="P55"/>
  <c r="Q55"/>
  <c r="P54"/>
  <c r="Q54"/>
  <c r="P53"/>
  <c r="Q53"/>
  <c r="P52"/>
  <c r="Q52"/>
  <c r="P51"/>
  <c r="Q51"/>
  <c r="P50"/>
  <c r="Q50"/>
  <c r="P49"/>
  <c r="Q49"/>
  <c r="P48"/>
  <c r="Q48"/>
  <c r="P47"/>
  <c r="Q47"/>
  <c r="P46"/>
  <c r="Q46"/>
  <c r="P45"/>
  <c r="Q45"/>
  <c r="P44"/>
  <c r="Q44"/>
  <c r="P43"/>
  <c r="Q43"/>
  <c r="P42"/>
  <c r="Q42"/>
  <c r="P41"/>
  <c r="Q41"/>
  <c r="P40"/>
  <c r="Q40"/>
  <c r="P39"/>
  <c r="Q39"/>
  <c r="P38"/>
  <c r="Q38"/>
  <c r="P37"/>
  <c r="Q37"/>
  <c r="P36"/>
  <c r="Q36"/>
  <c r="P35"/>
  <c r="Q35"/>
  <c r="P34"/>
  <c r="Q34"/>
  <c r="P33"/>
  <c r="Q33"/>
  <c r="P32"/>
  <c r="Q32"/>
  <c r="AE30" a="1"/>
  <c r="AE30" s="1"/>
  <c r="T3" a="1"/>
  <c r="T3" s="1"/>
  <c r="U3" a="1"/>
  <c r="U3" s="1"/>
  <c r="V3" a="1"/>
  <c r="V3" s="1"/>
  <c r="W3" a="1"/>
  <c r="W3" s="1"/>
  <c r="X3" a="1"/>
  <c r="X3" s="1"/>
  <c r="T4" a="1"/>
  <c r="T4" s="1"/>
  <c r="T5" a="1"/>
  <c r="T5" s="1"/>
  <c r="T6" a="1"/>
  <c r="T6" s="1"/>
  <c r="T7" a="1"/>
  <c r="T7" s="1"/>
  <c r="T8" a="1"/>
  <c r="T8" s="1"/>
  <c r="T9" a="1"/>
  <c r="T9" s="1"/>
  <c r="T10" a="1"/>
  <c r="T10" s="1"/>
  <c r="S10"/>
  <c r="S9"/>
  <c r="S8"/>
  <c r="S7"/>
  <c r="S6"/>
  <c r="S1"/>
  <c r="S3"/>
  <c r="S2"/>
  <c r="T8" i="1"/>
  <c r="R30" a="1"/>
  <c r="R30" s="1"/>
  <c r="S30" s="1"/>
  <c r="AJ196"/>
  <c r="AF196"/>
  <c r="AE196"/>
  <c r="AC196"/>
  <c r="Y30"/>
  <c r="T30"/>
  <c r="Z30" s="1"/>
  <c r="Y31"/>
  <c r="T31"/>
  <c r="Z31" s="1"/>
  <c r="Y35"/>
  <c r="Y36"/>
  <c r="T36"/>
  <c r="Z36" s="1"/>
  <c r="Y37"/>
  <c r="T37"/>
  <c r="Z37" s="1"/>
  <c r="Y38"/>
  <c r="T38"/>
  <c r="Z38" s="1"/>
  <c r="Y39"/>
  <c r="T39"/>
  <c r="Z39" s="1"/>
  <c r="Y40"/>
  <c r="T40"/>
  <c r="Z40" s="1"/>
  <c r="Y41"/>
  <c r="T41"/>
  <c r="Z41" s="1"/>
  <c r="Y42"/>
  <c r="T42"/>
  <c r="Y43"/>
  <c r="T43"/>
  <c r="Z43" s="1"/>
  <c r="Y44"/>
  <c r="T44"/>
  <c r="Z44" s="1"/>
  <c r="Y45"/>
  <c r="T45"/>
  <c r="Z45" s="1"/>
  <c r="Y46"/>
  <c r="T46"/>
  <c r="Z46" s="1"/>
  <c r="Y47"/>
  <c r="T47"/>
  <c r="Z47" s="1"/>
  <c r="Y48"/>
  <c r="T48"/>
  <c r="Z48" s="1"/>
  <c r="Y49"/>
  <c r="T49"/>
  <c r="Z49" s="1"/>
  <c r="Y50"/>
  <c r="T50"/>
  <c r="Z50" s="1"/>
  <c r="Y51"/>
  <c r="T51"/>
  <c r="Z51" s="1"/>
  <c r="Y52"/>
  <c r="T52"/>
  <c r="Z52" s="1"/>
  <c r="Y53"/>
  <c r="T53"/>
  <c r="Z53" s="1"/>
  <c r="Y54"/>
  <c r="T54"/>
  <c r="Z54" s="1"/>
  <c r="Y55"/>
  <c r="T55"/>
  <c r="Z55" s="1"/>
  <c r="Y56"/>
  <c r="T56"/>
  <c r="Z56" s="1"/>
  <c r="Y57"/>
  <c r="T57"/>
  <c r="Z57" s="1"/>
  <c r="Y58"/>
  <c r="T58"/>
  <c r="Y59"/>
  <c r="T59"/>
  <c r="Z59" s="1"/>
  <c r="Y60"/>
  <c r="T60"/>
  <c r="Z60" s="1"/>
  <c r="Y61"/>
  <c r="T61"/>
  <c r="Z61" s="1"/>
  <c r="Y62"/>
  <c r="T62"/>
  <c r="Z62" s="1"/>
  <c r="Y63"/>
  <c r="T63"/>
  <c r="Z63" s="1"/>
  <c r="Y64"/>
  <c r="T64"/>
  <c r="Z64" s="1"/>
  <c r="Y65"/>
  <c r="T65"/>
  <c r="Z65" s="1"/>
  <c r="Y66"/>
  <c r="T66"/>
  <c r="Z66" s="1"/>
  <c r="Y67"/>
  <c r="T67"/>
  <c r="Z67" s="1"/>
  <c r="Y68"/>
  <c r="T68"/>
  <c r="Z68" s="1"/>
  <c r="Y69"/>
  <c r="T69"/>
  <c r="Z69" s="1"/>
  <c r="Y70"/>
  <c r="T70"/>
  <c r="Z70" s="1"/>
  <c r="Y71"/>
  <c r="T71"/>
  <c r="Z71" s="1"/>
  <c r="Y72"/>
  <c r="T72"/>
  <c r="Z72" s="1"/>
  <c r="Y73"/>
  <c r="T73"/>
  <c r="Z73" s="1"/>
  <c r="Y74"/>
  <c r="T74"/>
  <c r="Z74" s="1"/>
  <c r="Y75"/>
  <c r="T75"/>
  <c r="Z75" s="1"/>
  <c r="Y76"/>
  <c r="T76"/>
  <c r="Z76" s="1"/>
  <c r="Y77"/>
  <c r="T77"/>
  <c r="Z77" s="1"/>
  <c r="Y78"/>
  <c r="T78"/>
  <c r="Z78" s="1"/>
  <c r="Y79"/>
  <c r="T79"/>
  <c r="Z79" s="1"/>
  <c r="Y80"/>
  <c r="T80"/>
  <c r="Z80" s="1"/>
  <c r="Y81"/>
  <c r="T81"/>
  <c r="Z81" s="1"/>
  <c r="Y82"/>
  <c r="T82"/>
  <c r="Z82" s="1"/>
  <c r="Y83"/>
  <c r="T83"/>
  <c r="Z83" s="1"/>
  <c r="Y84"/>
  <c r="T84"/>
  <c r="Z84" s="1"/>
  <c r="Y85"/>
  <c r="T85"/>
  <c r="Z85" s="1"/>
  <c r="Y86"/>
  <c r="T86"/>
  <c r="Z86" s="1"/>
  <c r="Y87"/>
  <c r="T87"/>
  <c r="Z87" s="1"/>
  <c r="Y88"/>
  <c r="T88"/>
  <c r="Z88" s="1"/>
  <c r="Y89"/>
  <c r="T89"/>
  <c r="Z89" s="1"/>
  <c r="Y90"/>
  <c r="T90"/>
  <c r="Z90" s="1"/>
  <c r="Y91"/>
  <c r="T91"/>
  <c r="Z91" s="1"/>
  <c r="Y92"/>
  <c r="T92"/>
  <c r="Z92" s="1"/>
  <c r="Y93"/>
  <c r="T93"/>
  <c r="Z93" s="1"/>
  <c r="Y94"/>
  <c r="T94"/>
  <c r="Z94" s="1"/>
  <c r="Y95"/>
  <c r="T95"/>
  <c r="Z95" s="1"/>
  <c r="Y96"/>
  <c r="T96"/>
  <c r="Z96" s="1"/>
  <c r="Y97"/>
  <c r="T97"/>
  <c r="Z97" s="1"/>
  <c r="Y98"/>
  <c r="T98"/>
  <c r="Z98" s="1"/>
  <c r="Y99"/>
  <c r="T99"/>
  <c r="Z99" s="1"/>
  <c r="Y100"/>
  <c r="T100"/>
  <c r="Z100" s="1"/>
  <c r="Y101"/>
  <c r="T101"/>
  <c r="Z101" s="1"/>
  <c r="Y102"/>
  <c r="T102"/>
  <c r="Z102" s="1"/>
  <c r="Y103"/>
  <c r="T103"/>
  <c r="Z103" s="1"/>
  <c r="Y104"/>
  <c r="T104"/>
  <c r="Z104" s="1"/>
  <c r="Y105"/>
  <c r="T105"/>
  <c r="Z105" s="1"/>
  <c r="Y106"/>
  <c r="T106"/>
  <c r="Z106" s="1"/>
  <c r="Y107"/>
  <c r="T107"/>
  <c r="Z107" s="1"/>
  <c r="Y108"/>
  <c r="T108"/>
  <c r="Z108" s="1"/>
  <c r="Y109"/>
  <c r="T109"/>
  <c r="Z109" s="1"/>
  <c r="Y110"/>
  <c r="T110"/>
  <c r="Z110" s="1"/>
  <c r="Y111"/>
  <c r="T111"/>
  <c r="Z111" s="1"/>
  <c r="Y112"/>
  <c r="T112"/>
  <c r="Z112" s="1"/>
  <c r="Y113"/>
  <c r="T113"/>
  <c r="Z113" s="1"/>
  <c r="Y114"/>
  <c r="T114"/>
  <c r="Z114" s="1"/>
  <c r="Y115"/>
  <c r="T115"/>
  <c r="Z115" s="1"/>
  <c r="Y116"/>
  <c r="T116"/>
  <c r="Z116" s="1"/>
  <c r="Y117"/>
  <c r="T117"/>
  <c r="Z117" s="1"/>
  <c r="Y118"/>
  <c r="T118"/>
  <c r="Z118" s="1"/>
  <c r="Y119"/>
  <c r="T119"/>
  <c r="Z119" s="1"/>
  <c r="Y120"/>
  <c r="T120"/>
  <c r="Z120" s="1"/>
  <c r="Y121"/>
  <c r="T121"/>
  <c r="Z121" s="1"/>
  <c r="Y122"/>
  <c r="T122"/>
  <c r="Z122" s="1"/>
  <c r="Y123"/>
  <c r="T123"/>
  <c r="Z123" s="1"/>
  <c r="Y124"/>
  <c r="T124"/>
  <c r="Z124" s="1"/>
  <c r="Y125"/>
  <c r="T125"/>
  <c r="Z125" s="1"/>
  <c r="Y126"/>
  <c r="T126"/>
  <c r="Z126" s="1"/>
  <c r="Y127"/>
  <c r="T127"/>
  <c r="Z127" s="1"/>
  <c r="Y128"/>
  <c r="T128"/>
  <c r="Z128" s="1"/>
  <c r="Y129"/>
  <c r="T129"/>
  <c r="Z129" s="1"/>
  <c r="Y130"/>
  <c r="T130"/>
  <c r="Z130" s="1"/>
  <c r="Y131"/>
  <c r="T131"/>
  <c r="Z131" s="1"/>
  <c r="Y132"/>
  <c r="T132"/>
  <c r="Z132" s="1"/>
  <c r="Y133"/>
  <c r="T133"/>
  <c r="Z133" s="1"/>
  <c r="Y134"/>
  <c r="T134"/>
  <c r="Z134" s="1"/>
  <c r="Y135"/>
  <c r="T135"/>
  <c r="Z135" s="1"/>
  <c r="Y136"/>
  <c r="T136"/>
  <c r="Z136" s="1"/>
  <c r="Y137"/>
  <c r="T137"/>
  <c r="Z137" s="1"/>
  <c r="Y138"/>
  <c r="T138"/>
  <c r="Z138" s="1"/>
  <c r="Y139"/>
  <c r="T139"/>
  <c r="Z139" s="1"/>
  <c r="Y140"/>
  <c r="T140"/>
  <c r="Z140" s="1"/>
  <c r="Y141"/>
  <c r="T141"/>
  <c r="Z141" s="1"/>
  <c r="Y142"/>
  <c r="T142"/>
  <c r="Z142" s="1"/>
  <c r="Y143"/>
  <c r="T143"/>
  <c r="Z143" s="1"/>
  <c r="Y144"/>
  <c r="T144"/>
  <c r="Z144" s="1"/>
  <c r="Y145"/>
  <c r="T145"/>
  <c r="Z145" s="1"/>
  <c r="Y146"/>
  <c r="T146"/>
  <c r="Z146" s="1"/>
  <c r="Y147"/>
  <c r="T147"/>
  <c r="Z147" s="1"/>
  <c r="Y148"/>
  <c r="T148"/>
  <c r="Z148" s="1"/>
  <c r="Y149"/>
  <c r="T149"/>
  <c r="Z149" s="1"/>
  <c r="Y150"/>
  <c r="T150"/>
  <c r="Z150" s="1"/>
  <c r="Y151"/>
  <c r="T151"/>
  <c r="Z151" s="1"/>
  <c r="Y152"/>
  <c r="T152"/>
  <c r="Z152" s="1"/>
  <c r="Y153"/>
  <c r="T153"/>
  <c r="Z153" s="1"/>
  <c r="Y154"/>
  <c r="T154"/>
  <c r="Z154" s="1"/>
  <c r="Y155"/>
  <c r="T155"/>
  <c r="Z155" s="1"/>
  <c r="Y156"/>
  <c r="T156"/>
  <c r="Z156" s="1"/>
  <c r="Y157"/>
  <c r="T157"/>
  <c r="Z157" s="1"/>
  <c r="Y158"/>
  <c r="T158"/>
  <c r="Z158" s="1"/>
  <c r="Y159"/>
  <c r="T159"/>
  <c r="Z159" s="1"/>
  <c r="Y160"/>
  <c r="T160"/>
  <c r="Z160" s="1"/>
  <c r="Y161"/>
  <c r="T161"/>
  <c r="Z161" s="1"/>
  <c r="Y162"/>
  <c r="T162"/>
  <c r="Z162" s="1"/>
  <c r="Y163"/>
  <c r="T163"/>
  <c r="Z163" s="1"/>
  <c r="Y164"/>
  <c r="T164"/>
  <c r="Z164" s="1"/>
  <c r="Y165"/>
  <c r="T165"/>
  <c r="Z165" s="1"/>
  <c r="Y166"/>
  <c r="T166"/>
  <c r="Z166" s="1"/>
  <c r="Y167"/>
  <c r="T167"/>
  <c r="Z167" s="1"/>
  <c r="Y168"/>
  <c r="T168"/>
  <c r="Z168" s="1"/>
  <c r="Y169"/>
  <c r="T169"/>
  <c r="Z169" s="1"/>
  <c r="Y170"/>
  <c r="T170"/>
  <c r="Z170" s="1"/>
  <c r="Y171"/>
  <c r="T171"/>
  <c r="Z171" s="1"/>
  <c r="Y172"/>
  <c r="T172"/>
  <c r="Z172" s="1"/>
  <c r="Y173"/>
  <c r="T173"/>
  <c r="Z173" s="1"/>
  <c r="Y174"/>
  <c r="T174"/>
  <c r="Z174" s="1"/>
  <c r="Y175"/>
  <c r="T175"/>
  <c r="Z175" s="1"/>
  <c r="Y176"/>
  <c r="T176"/>
  <c r="Z176" s="1"/>
  <c r="Y177"/>
  <c r="T177"/>
  <c r="Z177" s="1"/>
  <c r="Y178"/>
  <c r="T178"/>
  <c r="Z178" s="1"/>
  <c r="Y179"/>
  <c r="T179"/>
  <c r="Z179" s="1"/>
  <c r="Y180"/>
  <c r="T180"/>
  <c r="Z180" s="1"/>
  <c r="Y181"/>
  <c r="T181"/>
  <c r="Z181" s="1"/>
  <c r="Y182"/>
  <c r="T182"/>
  <c r="Z182" s="1"/>
  <c r="Y183"/>
  <c r="T183"/>
  <c r="Z183" s="1"/>
  <c r="Y184"/>
  <c r="T184"/>
  <c r="Z184" s="1"/>
  <c r="Y185"/>
  <c r="T185"/>
  <c r="Z185" s="1"/>
  <c r="Y186"/>
  <c r="T186"/>
  <c r="Z186" s="1"/>
  <c r="Y187"/>
  <c r="T187"/>
  <c r="Z187" s="1"/>
  <c r="Y188"/>
  <c r="T188"/>
  <c r="Z188" s="1"/>
  <c r="Y189"/>
  <c r="T189"/>
  <c r="Z189" s="1"/>
  <c r="Y190"/>
  <c r="T190"/>
  <c r="Z190" s="1"/>
  <c r="Y191"/>
  <c r="T191"/>
  <c r="Z191" s="1"/>
  <c r="Y192"/>
  <c r="T192"/>
  <c r="Z192" s="1"/>
  <c r="Y193"/>
  <c r="T193"/>
  <c r="Z193" s="1"/>
  <c r="Y194"/>
  <c r="T194"/>
  <c r="Z194" s="1"/>
  <c r="H30"/>
  <c r="H31"/>
  <c r="H35"/>
  <c r="X35" s="1"/>
  <c r="U35" s="1"/>
  <c r="V35" s="1"/>
  <c r="H36"/>
  <c r="X36" s="1"/>
  <c r="U36" s="1"/>
  <c r="V36" s="1"/>
  <c r="H37"/>
  <c r="X37" s="1"/>
  <c r="U37" s="1"/>
  <c r="V37" s="1"/>
  <c r="H38"/>
  <c r="X38" s="1"/>
  <c r="U38" s="1"/>
  <c r="V38" s="1"/>
  <c r="H39"/>
  <c r="X39" s="1"/>
  <c r="U39" s="1"/>
  <c r="V39" s="1"/>
  <c r="H40"/>
  <c r="X40" s="1"/>
  <c r="U40" s="1"/>
  <c r="V40" s="1"/>
  <c r="X41"/>
  <c r="U41" s="1"/>
  <c r="V41" s="1"/>
  <c r="X46"/>
  <c r="U46" s="1"/>
  <c r="V46" s="1"/>
  <c r="X49"/>
  <c r="U49" s="1"/>
  <c r="V49" s="1"/>
  <c r="X53"/>
  <c r="U53" s="1"/>
  <c r="V53" s="1"/>
  <c r="X54"/>
  <c r="U54" s="1"/>
  <c r="V54" s="1"/>
  <c r="X57"/>
  <c r="U57" s="1"/>
  <c r="V57" s="1"/>
  <c r="X62"/>
  <c r="U62" s="1"/>
  <c r="V62" s="1"/>
  <c r="X63"/>
  <c r="U63" s="1"/>
  <c r="V63" s="1"/>
  <c r="X70"/>
  <c r="U70" s="1"/>
  <c r="V70" s="1"/>
  <c r="X71"/>
  <c r="U71" s="1"/>
  <c r="V71" s="1"/>
  <c r="X74"/>
  <c r="U74" s="1"/>
  <c r="V74" s="1"/>
  <c r="X95"/>
  <c r="U95" s="1"/>
  <c r="V95" s="1"/>
  <c r="X98"/>
  <c r="U98" s="1"/>
  <c r="V98" s="1"/>
  <c r="X102"/>
  <c r="U102" s="1"/>
  <c r="V102" s="1"/>
  <c r="X103"/>
  <c r="U103" s="1"/>
  <c r="V103" s="1"/>
  <c r="X106"/>
  <c r="U106" s="1"/>
  <c r="V106" s="1"/>
  <c r="X182"/>
  <c r="U182" s="1"/>
  <c r="V182" s="1"/>
  <c r="X186"/>
  <c r="U186" s="1"/>
  <c r="V186" s="1"/>
  <c r="H194"/>
  <c r="X194" s="1"/>
  <c r="U194" s="1"/>
  <c r="V194" s="1"/>
  <c r="R31" a="1"/>
  <c r="R31" s="1"/>
  <c r="S31" s="1"/>
  <c r="R34" a="1"/>
  <c r="R34" s="1"/>
  <c r="S34" s="1"/>
  <c r="R35" a="1"/>
  <c r="R35" s="1"/>
  <c r="S35" s="1"/>
  <c r="R36" a="1"/>
  <c r="R36" s="1"/>
  <c r="S36" s="1"/>
  <c r="R37" a="1"/>
  <c r="R37" s="1"/>
  <c r="S37" s="1"/>
  <c r="R38" a="1"/>
  <c r="R38" s="1"/>
  <c r="S38" s="1"/>
  <c r="R39" a="1"/>
  <c r="R39" s="1"/>
  <c r="S39" s="1"/>
  <c r="R40" a="1"/>
  <c r="R40" s="1"/>
  <c r="S40" s="1"/>
  <c r="R41" a="1"/>
  <c r="R41" s="1"/>
  <c r="S41" s="1"/>
  <c r="R42" a="1"/>
  <c r="R42" s="1"/>
  <c r="S42" s="1"/>
  <c r="R43" a="1"/>
  <c r="R43" s="1"/>
  <c r="S43" s="1"/>
  <c r="R44" a="1"/>
  <c r="R44" s="1"/>
  <c r="S44" s="1"/>
  <c r="R45" a="1"/>
  <c r="R45" s="1"/>
  <c r="S45" s="1"/>
  <c r="R46" a="1"/>
  <c r="R46" s="1"/>
  <c r="S46" s="1"/>
  <c r="R47" a="1"/>
  <c r="R47" s="1"/>
  <c r="S47" s="1"/>
  <c r="R48" a="1"/>
  <c r="R48" s="1"/>
  <c r="S48" s="1"/>
  <c r="R49" a="1"/>
  <c r="R49" s="1"/>
  <c r="S49" s="1"/>
  <c r="R50" a="1"/>
  <c r="R50" s="1"/>
  <c r="S50" s="1"/>
  <c r="R51" a="1"/>
  <c r="R51" s="1"/>
  <c r="S51" s="1"/>
  <c r="R52" a="1"/>
  <c r="R52" s="1"/>
  <c r="S52" s="1"/>
  <c r="R53" a="1"/>
  <c r="R53" s="1"/>
  <c r="S53" s="1"/>
  <c r="R54" a="1"/>
  <c r="R55" a="1"/>
  <c r="R55" s="1"/>
  <c r="S55" s="1"/>
  <c r="R56" a="1"/>
  <c r="R56" s="1"/>
  <c r="S56" s="1"/>
  <c r="R57" a="1"/>
  <c r="R57" s="1"/>
  <c r="S57" s="1"/>
  <c r="R58" a="1"/>
  <c r="R58" s="1"/>
  <c r="S58" s="1"/>
  <c r="R59" a="1"/>
  <c r="R59" s="1"/>
  <c r="S59" s="1"/>
  <c r="R60" a="1"/>
  <c r="R60" s="1"/>
  <c r="S60" s="1"/>
  <c r="R61" a="1"/>
  <c r="R61" s="1"/>
  <c r="S61" s="1"/>
  <c r="R62" a="1"/>
  <c r="R62" s="1"/>
  <c r="S62" s="1"/>
  <c r="R63" a="1"/>
  <c r="R63" s="1"/>
  <c r="S63" s="1"/>
  <c r="R64" a="1"/>
  <c r="R64" s="1"/>
  <c r="S64" s="1"/>
  <c r="R65" a="1"/>
  <c r="R65" s="1"/>
  <c r="S65" s="1"/>
  <c r="R66" a="1"/>
  <c r="R66" s="1"/>
  <c r="S66" s="1"/>
  <c r="R67" a="1"/>
  <c r="R67" s="1"/>
  <c r="S67" s="1"/>
  <c r="R68" a="1"/>
  <c r="R68" s="1"/>
  <c r="S68" s="1"/>
  <c r="R69" a="1"/>
  <c r="R69" s="1"/>
  <c r="S69" s="1"/>
  <c r="R70" a="1"/>
  <c r="R70" s="1"/>
  <c r="S70" s="1"/>
  <c r="R71" a="1"/>
  <c r="R71" s="1"/>
  <c r="S71" s="1"/>
  <c r="R72" a="1"/>
  <c r="R72" s="1"/>
  <c r="S72" s="1"/>
  <c r="R73" a="1"/>
  <c r="R73" s="1"/>
  <c r="S73" s="1"/>
  <c r="R74" a="1"/>
  <c r="R74" s="1"/>
  <c r="S74" s="1"/>
  <c r="R75" a="1"/>
  <c r="R75" s="1"/>
  <c r="S75" s="1"/>
  <c r="R76" a="1"/>
  <c r="R76" s="1"/>
  <c r="S76" s="1"/>
  <c r="R77" a="1"/>
  <c r="R77" s="1"/>
  <c r="S77" s="1"/>
  <c r="R78" a="1"/>
  <c r="R78" s="1"/>
  <c r="S78" s="1"/>
  <c r="R79" a="1"/>
  <c r="R79" s="1"/>
  <c r="S79" s="1"/>
  <c r="R80" a="1"/>
  <c r="R80" s="1"/>
  <c r="S80" s="1"/>
  <c r="R81" a="1"/>
  <c r="R81" s="1"/>
  <c r="S81" s="1"/>
  <c r="R82" a="1"/>
  <c r="R82" s="1"/>
  <c r="S82" s="1"/>
  <c r="R83" a="1"/>
  <c r="R83" s="1"/>
  <c r="S83" s="1"/>
  <c r="R84" a="1"/>
  <c r="R84" s="1"/>
  <c r="S84" s="1"/>
  <c r="R85" a="1"/>
  <c r="R85" s="1"/>
  <c r="S85" s="1"/>
  <c r="R86" a="1"/>
  <c r="R86" s="1"/>
  <c r="S86" s="1"/>
  <c r="R87" a="1"/>
  <c r="R87" s="1"/>
  <c r="S87" s="1"/>
  <c r="R88" a="1"/>
  <c r="R88" s="1"/>
  <c r="S88" s="1"/>
  <c r="R89" a="1"/>
  <c r="R89" s="1"/>
  <c r="S89" s="1"/>
  <c r="R90" a="1"/>
  <c r="R90" s="1"/>
  <c r="S90" s="1"/>
  <c r="R91" a="1"/>
  <c r="R91" s="1"/>
  <c r="S91" s="1"/>
  <c r="R92" a="1"/>
  <c r="R92" s="1"/>
  <c r="S92" s="1"/>
  <c r="R93" a="1"/>
  <c r="R93" s="1"/>
  <c r="S93" s="1"/>
  <c r="R94" a="1"/>
  <c r="R94" s="1"/>
  <c r="S94" s="1"/>
  <c r="R95" a="1"/>
  <c r="R95" s="1"/>
  <c r="S95" s="1"/>
  <c r="R96" a="1"/>
  <c r="R96" s="1"/>
  <c r="S96" s="1"/>
  <c r="R97" a="1"/>
  <c r="R97" s="1"/>
  <c r="S97" s="1"/>
  <c r="R98" a="1"/>
  <c r="R98" s="1"/>
  <c r="S98" s="1"/>
  <c r="R99" a="1"/>
  <c r="R99" s="1"/>
  <c r="S99" s="1"/>
  <c r="R100" a="1"/>
  <c r="R100" s="1"/>
  <c r="S100" s="1"/>
  <c r="R101" a="1"/>
  <c r="R101" s="1"/>
  <c r="S101" s="1"/>
  <c r="R102" a="1"/>
  <c r="R102" s="1"/>
  <c r="S102" s="1"/>
  <c r="R103" a="1"/>
  <c r="R103" s="1"/>
  <c r="S103" s="1"/>
  <c r="R104" a="1"/>
  <c r="R104" s="1"/>
  <c r="S104" s="1"/>
  <c r="R105" a="1"/>
  <c r="R105" s="1"/>
  <c r="S105" s="1"/>
  <c r="R106" a="1"/>
  <c r="R106" s="1"/>
  <c r="S106" s="1"/>
  <c r="R107" a="1"/>
  <c r="R107" s="1"/>
  <c r="S107" s="1"/>
  <c r="R108" a="1"/>
  <c r="R108" s="1"/>
  <c r="S108" s="1"/>
  <c r="R109" a="1"/>
  <c r="R109" s="1"/>
  <c r="S109" s="1"/>
  <c r="R110" a="1"/>
  <c r="R110" s="1"/>
  <c r="S110" s="1"/>
  <c r="R111" a="1"/>
  <c r="R111" s="1"/>
  <c r="S111" s="1"/>
  <c r="R112" a="1"/>
  <c r="R112" s="1"/>
  <c r="S112" s="1"/>
  <c r="R113" a="1"/>
  <c r="R113" s="1"/>
  <c r="S113" s="1"/>
  <c r="R114" a="1"/>
  <c r="R114" s="1"/>
  <c r="S114" s="1"/>
  <c r="R115" a="1"/>
  <c r="R115" s="1"/>
  <c r="S115" s="1"/>
  <c r="R116" a="1"/>
  <c r="R116" s="1"/>
  <c r="S116" s="1"/>
  <c r="R117" a="1"/>
  <c r="R117" s="1"/>
  <c r="S117" s="1"/>
  <c r="R118" a="1"/>
  <c r="R118" s="1"/>
  <c r="S118" s="1"/>
  <c r="R119" a="1"/>
  <c r="R119" s="1"/>
  <c r="S119" s="1"/>
  <c r="R120" a="1"/>
  <c r="R120" s="1"/>
  <c r="S120" s="1"/>
  <c r="R121" a="1"/>
  <c r="R121" s="1"/>
  <c r="S121" s="1"/>
  <c r="R122" a="1"/>
  <c r="R122" s="1"/>
  <c r="S122" s="1"/>
  <c r="R123" a="1"/>
  <c r="R123" s="1"/>
  <c r="S123" s="1"/>
  <c r="R124" a="1"/>
  <c r="R124" s="1"/>
  <c r="S124" s="1"/>
  <c r="R125" a="1"/>
  <c r="R125" s="1"/>
  <c r="S125" s="1"/>
  <c r="R126" a="1"/>
  <c r="R126" s="1"/>
  <c r="S126" s="1"/>
  <c r="R127" a="1"/>
  <c r="R127" s="1"/>
  <c r="S127" s="1"/>
  <c r="R128" a="1"/>
  <c r="R128" s="1"/>
  <c r="S128" s="1"/>
  <c r="R129" a="1"/>
  <c r="R129" s="1"/>
  <c r="S129" s="1"/>
  <c r="R130" a="1"/>
  <c r="R130" s="1"/>
  <c r="S130" s="1"/>
  <c r="R131" a="1"/>
  <c r="R131" s="1"/>
  <c r="S131" s="1"/>
  <c r="R132" a="1"/>
  <c r="R132" s="1"/>
  <c r="S132" s="1"/>
  <c r="R133" a="1"/>
  <c r="R133" s="1"/>
  <c r="S133" s="1"/>
  <c r="R134" a="1"/>
  <c r="R134" s="1"/>
  <c r="S134" s="1"/>
  <c r="R135" a="1"/>
  <c r="R135" s="1"/>
  <c r="S135" s="1"/>
  <c r="R136" a="1"/>
  <c r="R136" s="1"/>
  <c r="S136" s="1"/>
  <c r="R137" a="1"/>
  <c r="R137" s="1"/>
  <c r="S137" s="1"/>
  <c r="R138" a="1"/>
  <c r="R138" s="1"/>
  <c r="S138" s="1"/>
  <c r="R139" a="1"/>
  <c r="R139" s="1"/>
  <c r="S139" s="1"/>
  <c r="R140" a="1"/>
  <c r="R140" s="1"/>
  <c r="S140" s="1"/>
  <c r="R141" a="1"/>
  <c r="R141" s="1"/>
  <c r="S141" s="1"/>
  <c r="R142" a="1"/>
  <c r="R142" s="1"/>
  <c r="S142" s="1"/>
  <c r="R143" a="1"/>
  <c r="R143" s="1"/>
  <c r="S143" s="1"/>
  <c r="R144" a="1"/>
  <c r="R144" s="1"/>
  <c r="S144" s="1"/>
  <c r="R145" a="1"/>
  <c r="R145" s="1"/>
  <c r="S145" s="1"/>
  <c r="R146" a="1"/>
  <c r="R146" s="1"/>
  <c r="S146" s="1"/>
  <c r="R147" a="1"/>
  <c r="R147" s="1"/>
  <c r="S147" s="1"/>
  <c r="R148" a="1"/>
  <c r="R148" s="1"/>
  <c r="S148" s="1"/>
  <c r="R149" a="1"/>
  <c r="R149" s="1"/>
  <c r="S149" s="1"/>
  <c r="R150" a="1"/>
  <c r="R150" s="1"/>
  <c r="S150" s="1"/>
  <c r="R151" a="1"/>
  <c r="R151" s="1"/>
  <c r="S151" s="1"/>
  <c r="R152" a="1"/>
  <c r="R152" s="1"/>
  <c r="S152" s="1"/>
  <c r="R153" a="1"/>
  <c r="R153" s="1"/>
  <c r="S153" s="1"/>
  <c r="R154" a="1"/>
  <c r="R154" s="1"/>
  <c r="S154" s="1"/>
  <c r="R155" a="1"/>
  <c r="R155" s="1"/>
  <c r="S155" s="1"/>
  <c r="R156" a="1"/>
  <c r="R156" s="1"/>
  <c r="S156" s="1"/>
  <c r="R157" a="1"/>
  <c r="R157" s="1"/>
  <c r="S157" s="1"/>
  <c r="R158" a="1"/>
  <c r="R158" s="1"/>
  <c r="S158" s="1"/>
  <c r="R159" a="1"/>
  <c r="R159" s="1"/>
  <c r="S159" s="1"/>
  <c r="R160" a="1"/>
  <c r="R160" s="1"/>
  <c r="S160" s="1"/>
  <c r="R161" a="1"/>
  <c r="R161" s="1"/>
  <c r="S161" s="1"/>
  <c r="R162" a="1"/>
  <c r="R162" s="1"/>
  <c r="S162" s="1"/>
  <c r="R163" a="1"/>
  <c r="R163" s="1"/>
  <c r="S163" s="1"/>
  <c r="R164" a="1"/>
  <c r="R164" s="1"/>
  <c r="S164" s="1"/>
  <c r="R165" a="1"/>
  <c r="R165" s="1"/>
  <c r="S165" s="1"/>
  <c r="R166" a="1"/>
  <c r="R166" s="1"/>
  <c r="S166" s="1"/>
  <c r="R167" a="1"/>
  <c r="R167" s="1"/>
  <c r="S167" s="1"/>
  <c r="R168" a="1"/>
  <c r="R168" s="1"/>
  <c r="S168" s="1"/>
  <c r="R169" a="1"/>
  <c r="R169" s="1"/>
  <c r="S169" s="1"/>
  <c r="R170" a="1"/>
  <c r="R170" s="1"/>
  <c r="S170" s="1"/>
  <c r="R171" a="1"/>
  <c r="R171" s="1"/>
  <c r="S171" s="1"/>
  <c r="R172" a="1"/>
  <c r="R172" s="1"/>
  <c r="S172" s="1"/>
  <c r="R173" a="1"/>
  <c r="R173" s="1"/>
  <c r="S173" s="1"/>
  <c r="R174" a="1"/>
  <c r="R174" s="1"/>
  <c r="S174" s="1"/>
  <c r="R175" a="1"/>
  <c r="R175" s="1"/>
  <c r="S175" s="1"/>
  <c r="R176" a="1"/>
  <c r="R176" s="1"/>
  <c r="S176" s="1"/>
  <c r="R177" a="1"/>
  <c r="R177" s="1"/>
  <c r="S177" s="1"/>
  <c r="R178" a="1"/>
  <c r="R178" s="1"/>
  <c r="S178" s="1"/>
  <c r="R179" a="1"/>
  <c r="R179" s="1"/>
  <c r="S179" s="1"/>
  <c r="R180" a="1"/>
  <c r="R180" s="1"/>
  <c r="S180" s="1"/>
  <c r="R181" a="1"/>
  <c r="R181" s="1"/>
  <c r="S181" s="1"/>
  <c r="R182" a="1"/>
  <c r="R182" s="1"/>
  <c r="S182" s="1"/>
  <c r="R183" a="1"/>
  <c r="R183" s="1"/>
  <c r="S183" s="1"/>
  <c r="R184" a="1"/>
  <c r="R184" s="1"/>
  <c r="S184" s="1"/>
  <c r="R185" a="1"/>
  <c r="R185" s="1"/>
  <c r="S185" s="1"/>
  <c r="R186" a="1"/>
  <c r="R186" s="1"/>
  <c r="S186" s="1"/>
  <c r="R187" a="1"/>
  <c r="R187" s="1"/>
  <c r="S187" s="1"/>
  <c r="R188" a="1"/>
  <c r="R188" s="1"/>
  <c r="S188" s="1"/>
  <c r="R189" a="1"/>
  <c r="R189" s="1"/>
  <c r="S189" s="1"/>
  <c r="R190" a="1"/>
  <c r="R190" s="1"/>
  <c r="S190" s="1"/>
  <c r="R191" a="1"/>
  <c r="R191" s="1"/>
  <c r="S191" s="1"/>
  <c r="R192" a="1"/>
  <c r="R192" s="1"/>
  <c r="S192" s="1"/>
  <c r="R193" a="1"/>
  <c r="R193" s="1"/>
  <c r="S193" s="1"/>
  <c r="R194" a="1"/>
  <c r="R194" s="1"/>
  <c r="S194" s="1"/>
  <c r="J196"/>
  <c r="W37" s="1" a="1"/>
  <c r="W37" s="1"/>
  <c r="K196"/>
  <c r="F196"/>
  <c r="D196"/>
  <c r="B196"/>
  <c r="AA194"/>
  <c r="AA193"/>
  <c r="AA192"/>
  <c r="AA191"/>
  <c r="AA190"/>
  <c r="AA189"/>
  <c r="AA188"/>
  <c r="AA187"/>
  <c r="AA186"/>
  <c r="AA185"/>
  <c r="AA184"/>
  <c r="AA183"/>
  <c r="AA182"/>
  <c r="AA181"/>
  <c r="AA180"/>
  <c r="AA179"/>
  <c r="AA178"/>
  <c r="AA177"/>
  <c r="AA176"/>
  <c r="AA175"/>
  <c r="AA174"/>
  <c r="AA173"/>
  <c r="AA172"/>
  <c r="AA171"/>
  <c r="AA170"/>
  <c r="AA169"/>
  <c r="AA168"/>
  <c r="AA167"/>
  <c r="AA166"/>
  <c r="AA165"/>
  <c r="AA164"/>
  <c r="AA163"/>
  <c r="AA162"/>
  <c r="AA161"/>
  <c r="AA160"/>
  <c r="AA159"/>
  <c r="AA158"/>
  <c r="AA157"/>
  <c r="AA156"/>
  <c r="AA155"/>
  <c r="AA154"/>
  <c r="AA153"/>
  <c r="AA152"/>
  <c r="AA151"/>
  <c r="AA150"/>
  <c r="AA149"/>
  <c r="AA148"/>
  <c r="AA147"/>
  <c r="AA146"/>
  <c r="AA145"/>
  <c r="AA144"/>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1"/>
  <c r="AA100"/>
  <c r="AA99"/>
  <c r="AA98"/>
  <c r="AA97"/>
  <c r="AA96"/>
  <c r="AA95"/>
  <c r="AA94"/>
  <c r="AA93"/>
  <c r="AA92"/>
  <c r="AA91"/>
  <c r="AA90"/>
  <c r="AA89"/>
  <c r="AA88"/>
  <c r="AA87"/>
  <c r="AA86"/>
  <c r="AA85"/>
  <c r="AA84"/>
  <c r="AA83"/>
  <c r="AA82"/>
  <c r="AA81"/>
  <c r="AA80"/>
  <c r="AA79"/>
  <c r="AA78"/>
  <c r="AA77"/>
  <c r="AA76"/>
  <c r="AA75"/>
  <c r="AA74"/>
  <c r="AA73"/>
  <c r="AA72"/>
  <c r="AA71"/>
  <c r="AA70"/>
  <c r="AA69"/>
  <c r="AA68"/>
  <c r="AA67"/>
  <c r="AA66"/>
  <c r="AA65"/>
  <c r="AA64"/>
  <c r="AA63"/>
  <c r="AA62"/>
  <c r="AA61"/>
  <c r="AA60"/>
  <c r="AA59"/>
  <c r="AA58"/>
  <c r="AA57"/>
  <c r="AA56"/>
  <c r="AA55"/>
  <c r="AA54"/>
  <c r="R54"/>
  <c r="S54" s="1"/>
  <c r="AA53"/>
  <c r="AA52"/>
  <c r="AA51"/>
  <c r="AA50"/>
  <c r="AA49"/>
  <c r="AA48"/>
  <c r="AA47"/>
  <c r="AA46"/>
  <c r="AA45"/>
  <c r="AA44"/>
  <c r="AA43"/>
  <c r="AA42"/>
  <c r="AA41"/>
  <c r="AA40"/>
  <c r="AA39"/>
  <c r="AA38"/>
  <c r="AA37"/>
  <c r="AA31"/>
  <c r="AA30"/>
  <c r="B203" i="2"/>
  <c r="B202"/>
  <c r="B201"/>
  <c r="B200"/>
  <c r="B199"/>
  <c r="B198"/>
  <c r="B197"/>
  <c r="B196"/>
  <c r="B195"/>
  <c r="B194"/>
  <c r="B193"/>
  <c r="B192"/>
  <c r="B191"/>
  <c r="B190"/>
  <c r="B189"/>
  <c r="B188"/>
  <c r="B187"/>
  <c r="B186"/>
  <c r="B185"/>
  <c r="B184"/>
  <c r="B183"/>
  <c r="B182"/>
  <c r="B181"/>
  <c r="B180"/>
  <c r="B179"/>
  <c r="B178"/>
  <c r="B177"/>
  <c r="B176"/>
  <c r="B175"/>
  <c r="B174"/>
  <c r="B173"/>
  <c r="B172"/>
  <c r="B171"/>
  <c r="B170"/>
  <c r="B169"/>
  <c r="B168"/>
  <c r="B167"/>
  <c r="B166"/>
  <c r="B165"/>
  <c r="B164"/>
  <c r="B163"/>
  <c r="B162"/>
  <c r="B161"/>
  <c r="B160"/>
  <c r="B159"/>
  <c r="B158"/>
  <c r="B157"/>
  <c r="B156"/>
  <c r="B155"/>
  <c r="B154"/>
  <c r="B153"/>
  <c r="B152"/>
  <c r="B151"/>
  <c r="B150"/>
  <c r="B149"/>
  <c r="B148"/>
  <c r="B147"/>
  <c r="B146"/>
  <c r="B145"/>
  <c r="B144"/>
  <c r="B143"/>
  <c r="B142"/>
  <c r="B141"/>
  <c r="B140"/>
  <c r="B139"/>
  <c r="B138"/>
  <c r="B137"/>
  <c r="B136"/>
  <c r="B135"/>
  <c r="B134"/>
  <c r="B133"/>
  <c r="B132"/>
  <c r="B131"/>
  <c r="B130"/>
  <c r="B129"/>
  <c r="B128"/>
  <c r="B127"/>
  <c r="B126"/>
  <c r="B125"/>
  <c r="B124"/>
  <c r="B123"/>
  <c r="B122"/>
  <c r="B121"/>
  <c r="B120"/>
  <c r="B119"/>
  <c r="P11" a="1"/>
  <c r="P11" s="1"/>
  <c r="M11"/>
  <c r="N8"/>
  <c r="M8"/>
  <c r="AD20" i="3" l="1" a="1"/>
  <c r="AD20" s="1"/>
  <c r="AE26" a="1"/>
  <c r="AE26" s="1"/>
  <c r="AE4" a="1"/>
  <c r="AE4" s="1"/>
  <c r="AD8" a="1"/>
  <c r="AD8" s="1"/>
  <c r="W102" i="1" a="1"/>
  <c r="W102" s="1"/>
  <c r="AD14" i="3" a="1"/>
  <c r="AD14" s="1"/>
  <c r="Y30"/>
  <c r="T2" s="1"/>
  <c r="AE11" a="1"/>
  <c r="AE11" s="1"/>
  <c r="AE10" a="1"/>
  <c r="AE10" s="1"/>
  <c r="AE12" a="1"/>
  <c r="AE12" s="1"/>
  <c r="AE18" a="1"/>
  <c r="AE18" s="1"/>
  <c r="AE22" a="1"/>
  <c r="AE22" s="1"/>
  <c r="AD28" a="1"/>
  <c r="AD28" s="1"/>
  <c r="AD29" a="1"/>
  <c r="AD29" s="1"/>
  <c r="AE1" a="1"/>
  <c r="AE1" s="1"/>
  <c r="AD16" a="1"/>
  <c r="AD16" s="1"/>
  <c r="AD21" a="1"/>
  <c r="AD21" s="1"/>
  <c r="B10" i="2"/>
  <c r="W101" i="1" a="1"/>
  <c r="W101" s="1"/>
  <c r="W75" a="1"/>
  <c r="W75" s="1"/>
  <c r="X30" i="3"/>
  <c r="W105" i="1" a="1"/>
  <c r="W105" s="1"/>
  <c r="W164" a="1"/>
  <c r="W164" s="1"/>
  <c r="W150" a="1"/>
  <c r="W150" s="1"/>
  <c r="W55" a="1"/>
  <c r="W55" s="1"/>
  <c r="W35" a="1"/>
  <c r="W35" s="1"/>
  <c r="W136" a="1"/>
  <c r="W136" s="1"/>
  <c r="W53" a="1"/>
  <c r="W53" s="1"/>
  <c r="W122" a="1"/>
  <c r="W122" s="1"/>
  <c r="W123" a="1"/>
  <c r="W123" s="1"/>
  <c r="W58" a="1"/>
  <c r="W58" s="1"/>
  <c r="W163" a="1"/>
  <c r="W163" s="1"/>
  <c r="W141" a="1"/>
  <c r="W141" s="1"/>
  <c r="W95" a="1"/>
  <c r="W95" s="1"/>
  <c r="W178" a="1"/>
  <c r="W178" s="1"/>
  <c r="W80" a="1"/>
  <c r="W80" s="1"/>
  <c r="BL46" a="1"/>
  <c r="BL46" s="1"/>
  <c r="BL45" a="1"/>
  <c r="BL45" s="1"/>
  <c r="BL41" a="1"/>
  <c r="BL41" s="1"/>
  <c r="BL37" a="1"/>
  <c r="BL37" s="1"/>
  <c r="BL33" a="1"/>
  <c r="BL33" s="1"/>
  <c r="BL29" a="1"/>
  <c r="BL29" s="1"/>
  <c r="BL25" a="1"/>
  <c r="BL25" s="1"/>
  <c r="BL21" a="1"/>
  <c r="BL21" s="1"/>
  <c r="BL17" a="1"/>
  <c r="BL17" s="1"/>
  <c r="BL13" a="1"/>
  <c r="BL13" s="1"/>
  <c r="BL9" a="1"/>
  <c r="BL9" s="1"/>
  <c r="BL5" a="1"/>
  <c r="BL5" s="1"/>
  <c r="BL42" a="1"/>
  <c r="BL42" s="1"/>
  <c r="BL38" a="1"/>
  <c r="BL38" s="1"/>
  <c r="BL34" a="1"/>
  <c r="BL34" s="1"/>
  <c r="BL30" a="1"/>
  <c r="BL30" s="1"/>
  <c r="BL26" a="1"/>
  <c r="BL26" s="1"/>
  <c r="BL22" a="1"/>
  <c r="BL22" s="1"/>
  <c r="BL18" a="1"/>
  <c r="BL18" s="1"/>
  <c r="BL14" a="1"/>
  <c r="BL14" s="1"/>
  <c r="BL10" a="1"/>
  <c r="BL10" s="1"/>
  <c r="BL6" a="1"/>
  <c r="BL6" s="1"/>
  <c r="BL43" a="1"/>
  <c r="BL43" s="1"/>
  <c r="BL39" a="1"/>
  <c r="BL39" s="1"/>
  <c r="BL35" a="1"/>
  <c r="BL35" s="1"/>
  <c r="BL31" a="1"/>
  <c r="BL31" s="1"/>
  <c r="BL27" a="1"/>
  <c r="BL27" s="1"/>
  <c r="BL23" a="1"/>
  <c r="BL23" s="1"/>
  <c r="BL19" a="1"/>
  <c r="BL19" s="1"/>
  <c r="BL15" a="1"/>
  <c r="BL15" s="1"/>
  <c r="BL11" a="1"/>
  <c r="BL11" s="1"/>
  <c r="BL7" a="1"/>
  <c r="BL7" s="1"/>
  <c r="T16"/>
  <c r="T13"/>
  <c r="N10" i="2" s="1"/>
  <c r="T15" i="1"/>
  <c r="BL44" a="1"/>
  <c r="BL44" s="1"/>
  <c r="BL40" a="1"/>
  <c r="BL40" s="1"/>
  <c r="BL36" a="1"/>
  <c r="BL36" s="1"/>
  <c r="BL32" a="1"/>
  <c r="BL32" s="1"/>
  <c r="BL28" a="1"/>
  <c r="BL28" s="1"/>
  <c r="BL24" a="1"/>
  <c r="BL24" s="1"/>
  <c r="BL20" a="1"/>
  <c r="BL20" s="1"/>
  <c r="BL16" a="1"/>
  <c r="BL16" s="1"/>
  <c r="BL12" a="1"/>
  <c r="BL12" s="1"/>
  <c r="W73" a="1"/>
  <c r="W73" s="1"/>
  <c r="W85" a="1"/>
  <c r="W85" s="1"/>
  <c r="W51" a="1"/>
  <c r="W51" s="1"/>
  <c r="W119" a="1"/>
  <c r="W119" s="1"/>
  <c r="W142" a="1"/>
  <c r="W142" s="1"/>
  <c r="W66" a="1"/>
  <c r="W66" s="1"/>
  <c r="W45" a="1"/>
  <c r="W45" s="1"/>
  <c r="W159" a="1"/>
  <c r="W159" s="1"/>
  <c r="W91" a="1"/>
  <c r="W91" s="1"/>
  <c r="W162" a="1"/>
  <c r="W162" s="1"/>
  <c r="W126" a="1"/>
  <c r="W126" s="1"/>
  <c r="W88" a="1"/>
  <c r="W88" s="1"/>
  <c r="W169" a="1"/>
  <c r="W169" s="1"/>
  <c r="W57" a="1"/>
  <c r="W57" s="1"/>
  <c r="W137" a="1"/>
  <c r="W137" s="1"/>
  <c r="W77" a="1"/>
  <c r="W77" s="1"/>
  <c r="W117" a="1"/>
  <c r="W117" s="1"/>
  <c r="W155" a="1"/>
  <c r="W155" s="1"/>
  <c r="W43" a="1"/>
  <c r="W43" s="1"/>
  <c r="W63" a="1"/>
  <c r="W63" s="1"/>
  <c r="W87" a="1"/>
  <c r="W87" s="1"/>
  <c r="W115" a="1"/>
  <c r="W115" s="1"/>
  <c r="W139" a="1"/>
  <c r="W139" s="1"/>
  <c r="W156" a="1"/>
  <c r="W156" s="1"/>
  <c r="W172" a="1"/>
  <c r="W172" s="1"/>
  <c r="W144" a="1"/>
  <c r="W144" s="1"/>
  <c r="W130" a="1"/>
  <c r="W130" s="1"/>
  <c r="W112" a="1"/>
  <c r="W112" s="1"/>
  <c r="W90" a="1"/>
  <c r="W90" s="1"/>
  <c r="W70" a="1"/>
  <c r="W70" s="1"/>
  <c r="W38" a="1"/>
  <c r="W38" s="1"/>
  <c r="W187" a="1"/>
  <c r="W187" s="1"/>
  <c r="W157" a="1"/>
  <c r="W157" s="1"/>
  <c r="W133" a="1"/>
  <c r="W133" s="1"/>
  <c r="W71" a="1"/>
  <c r="W71" s="1"/>
  <c r="W146" a="1"/>
  <c r="W146" s="1"/>
  <c r="W174" a="1"/>
  <c r="W174" s="1"/>
  <c r="W110" a="1"/>
  <c r="W110" s="1"/>
  <c r="W41" a="1"/>
  <c r="W41" s="1"/>
  <c r="W121" a="1"/>
  <c r="W121" s="1"/>
  <c r="W167" a="1"/>
  <c r="W167" s="1"/>
  <c r="W69" a="1"/>
  <c r="W69" s="1"/>
  <c r="W109" a="1"/>
  <c r="W109" s="1"/>
  <c r="W147" a="1"/>
  <c r="W147" s="1"/>
  <c r="W39" a="1"/>
  <c r="W39" s="1"/>
  <c r="W59" a="1"/>
  <c r="W59" s="1"/>
  <c r="W83" a="1"/>
  <c r="W83" s="1"/>
  <c r="W103" a="1"/>
  <c r="W103" s="1"/>
  <c r="W135" a="1"/>
  <c r="W135" s="1"/>
  <c r="W152" a="1"/>
  <c r="W152" s="1"/>
  <c r="W166" a="1"/>
  <c r="W166" s="1"/>
  <c r="W182" a="1"/>
  <c r="W182" s="1"/>
  <c r="W134" a="1"/>
  <c r="W134" s="1"/>
  <c r="W120" a="1"/>
  <c r="W120" s="1"/>
  <c r="W98" a="1"/>
  <c r="W98" s="1"/>
  <c r="W78" a="1"/>
  <c r="W78" s="1"/>
  <c r="W48" a="1"/>
  <c r="W48" s="1"/>
  <c r="AE6" i="3" a="1"/>
  <c r="AE6" s="1"/>
  <c r="X32" i="1"/>
  <c r="U32" s="1"/>
  <c r="V32" s="1"/>
  <c r="AD23" i="3" a="1"/>
  <c r="AD23" s="1"/>
  <c r="AD27" a="1"/>
  <c r="AD27" s="1"/>
  <c r="AD15" a="1"/>
  <c r="AD15" s="1"/>
  <c r="AD19" a="1"/>
  <c r="AD19" s="1"/>
  <c r="AE7" a="1"/>
  <c r="AE7" s="1"/>
  <c r="W114" i="1" a="1"/>
  <c r="W114" s="1"/>
  <c r="W104" a="1"/>
  <c r="W104" s="1"/>
  <c r="W94" a="1"/>
  <c r="W94" s="1"/>
  <c r="W82" a="1"/>
  <c r="W82" s="1"/>
  <c r="W72" a="1"/>
  <c r="W72" s="1"/>
  <c r="W62" a="1"/>
  <c r="W62" s="1"/>
  <c r="W50" a="1"/>
  <c r="W50" s="1"/>
  <c r="W40" a="1"/>
  <c r="W40" s="1"/>
  <c r="W188" a="1"/>
  <c r="W188" s="1"/>
  <c r="W175" a="1"/>
  <c r="W175" s="1"/>
  <c r="W81" a="1"/>
  <c r="W81" s="1"/>
  <c r="W107" a="1"/>
  <c r="W107" s="1"/>
  <c r="W127" a="1"/>
  <c r="W127" s="1"/>
  <c r="W148" a="1"/>
  <c r="W148" s="1"/>
  <c r="W158" a="1"/>
  <c r="W158" s="1"/>
  <c r="W168" a="1"/>
  <c r="W168" s="1"/>
  <c r="W180" a="1"/>
  <c r="W180" s="1"/>
  <c r="W138" a="1"/>
  <c r="W138" s="1"/>
  <c r="W128" a="1"/>
  <c r="W128" s="1"/>
  <c r="W118" a="1"/>
  <c r="W118" s="1"/>
  <c r="W106" a="1"/>
  <c r="W106" s="1"/>
  <c r="W96" a="1"/>
  <c r="W96" s="1"/>
  <c r="W86" a="1"/>
  <c r="W86" s="1"/>
  <c r="W74" a="1"/>
  <c r="W74" s="1"/>
  <c r="W64" a="1"/>
  <c r="W64" s="1"/>
  <c r="W54" a="1"/>
  <c r="W54" s="1"/>
  <c r="W42" a="1"/>
  <c r="W42" s="1"/>
  <c r="W192" a="1"/>
  <c r="W192" s="1"/>
  <c r="W177" a="1"/>
  <c r="W177" s="1"/>
  <c r="W129" a="1"/>
  <c r="W129" s="1"/>
  <c r="W56" a="1"/>
  <c r="W56" s="1"/>
  <c r="W46" a="1"/>
  <c r="W46" s="1"/>
  <c r="W34" a="1"/>
  <c r="W34" s="1"/>
  <c r="W194" a="1"/>
  <c r="W194" s="1"/>
  <c r="W184" a="1"/>
  <c r="W184" s="1"/>
  <c r="W145" a="1"/>
  <c r="W145" s="1"/>
  <c r="R30" i="3"/>
  <c r="U30"/>
  <c r="AD25" a="1"/>
  <c r="AD25" s="1"/>
  <c r="H196" i="1"/>
  <c r="X34"/>
  <c r="U34" s="1"/>
  <c r="V34" s="1"/>
  <c r="T9"/>
  <c r="Z58"/>
  <c r="Z42"/>
  <c r="W89" a="1"/>
  <c r="W89" s="1"/>
  <c r="W149" a="1"/>
  <c r="W149" s="1"/>
  <c r="W61" a="1"/>
  <c r="W61" s="1"/>
  <c r="W93" a="1"/>
  <c r="W93" s="1"/>
  <c r="W125" a="1"/>
  <c r="W125" s="1"/>
  <c r="W151" a="1"/>
  <c r="W151" s="1"/>
  <c r="W47" a="1"/>
  <c r="W47" s="1"/>
  <c r="W67" a="1"/>
  <c r="W67" s="1"/>
  <c r="W79" a="1"/>
  <c r="W79" s="1"/>
  <c r="W99" a="1"/>
  <c r="W99" s="1"/>
  <c r="W111" a="1"/>
  <c r="W111" s="1"/>
  <c r="W131" a="1"/>
  <c r="W131" s="1"/>
  <c r="W143" a="1"/>
  <c r="W143" s="1"/>
  <c r="W154" a="1"/>
  <c r="W154" s="1"/>
  <c r="W160" a="1"/>
  <c r="W160" s="1"/>
  <c r="W170" a="1"/>
  <c r="W170" s="1"/>
  <c r="W176" a="1"/>
  <c r="W176" s="1"/>
  <c r="W140" a="1"/>
  <c r="W140" s="1"/>
  <c r="W132" a="1"/>
  <c r="W132" s="1"/>
  <c r="W124" a="1"/>
  <c r="W124" s="1"/>
  <c r="W116" a="1"/>
  <c r="W116" s="1"/>
  <c r="W108" a="1"/>
  <c r="W108" s="1"/>
  <c r="W100" a="1"/>
  <c r="W100" s="1"/>
  <c r="W92" a="1"/>
  <c r="W92" s="1"/>
  <c r="W84" a="1"/>
  <c r="W84" s="1"/>
  <c r="W76" a="1"/>
  <c r="W76" s="1"/>
  <c r="W68" a="1"/>
  <c r="W68" s="1"/>
  <c r="W60" a="1"/>
  <c r="W60" s="1"/>
  <c r="W52" a="1"/>
  <c r="W52" s="1"/>
  <c r="W44" a="1"/>
  <c r="W44" s="1"/>
  <c r="W36" a="1"/>
  <c r="W36" s="1"/>
  <c r="W191" a="1"/>
  <c r="W191" s="1"/>
  <c r="W183" a="1"/>
  <c r="W183" s="1"/>
  <c r="W165" a="1"/>
  <c r="W165" s="1"/>
  <c r="W65" a="1"/>
  <c r="W65" s="1"/>
  <c r="X33"/>
  <c r="U33" s="1"/>
  <c r="V33" s="1"/>
  <c r="AE5" i="3" a="1"/>
  <c r="AE5" s="1"/>
  <c r="AE9" a="1"/>
  <c r="AE9" s="1"/>
  <c r="AD17" a="1"/>
  <c r="AD17" s="1"/>
  <c r="AD24" a="1"/>
  <c r="AD24" s="1"/>
  <c r="W190" i="1" a="1"/>
  <c r="W190" s="1"/>
  <c r="W186" a="1"/>
  <c r="W186" s="1"/>
  <c r="W181" a="1"/>
  <c r="W181" s="1"/>
  <c r="W173" a="1"/>
  <c r="W173" s="1"/>
  <c r="W161" a="1"/>
  <c r="W161" s="1"/>
  <c r="W113" a="1"/>
  <c r="W113" s="1"/>
  <c r="W49" a="1"/>
  <c r="W49" s="1"/>
  <c r="R196"/>
  <c r="T10"/>
  <c r="W193" a="1"/>
  <c r="W193" s="1"/>
  <c r="W189" a="1"/>
  <c r="W189" s="1"/>
  <c r="W185" a="1"/>
  <c r="W185" s="1"/>
  <c r="W179" a="1"/>
  <c r="W179" s="1"/>
  <c r="W171" a="1"/>
  <c r="W171" s="1"/>
  <c r="W153" a="1"/>
  <c r="W153" s="1"/>
  <c r="W97" a="1"/>
  <c r="W97" s="1"/>
  <c r="AD2" i="3" a="1"/>
  <c r="AD2" s="1"/>
  <c r="T16"/>
  <c r="S4" s="1"/>
  <c r="BL1" i="1" a="1"/>
  <c r="BL1" s="1"/>
  <c r="BL3" a="1"/>
  <c r="BL3" s="1"/>
  <c r="BL4" a="1"/>
  <c r="BL4" s="1"/>
  <c r="Q179"/>
  <c r="P179"/>
  <c r="X179"/>
  <c r="U179" s="1"/>
  <c r="V179" s="1"/>
  <c r="P178"/>
  <c r="Q178"/>
  <c r="X178"/>
  <c r="U178" s="1"/>
  <c r="V178" s="1"/>
  <c r="Q177"/>
  <c r="P177"/>
  <c r="X177"/>
  <c r="U177" s="1"/>
  <c r="V177" s="1"/>
  <c r="P176"/>
  <c r="Q176"/>
  <c r="X176"/>
  <c r="U176" s="1"/>
  <c r="V176" s="1"/>
  <c r="Q175"/>
  <c r="P175"/>
  <c r="X175"/>
  <c r="U175" s="1"/>
  <c r="V175" s="1"/>
  <c r="P174"/>
  <c r="Q174"/>
  <c r="X174"/>
  <c r="U174" s="1"/>
  <c r="V174" s="1"/>
  <c r="Q173"/>
  <c r="P173"/>
  <c r="X173"/>
  <c r="U173" s="1"/>
  <c r="V173" s="1"/>
  <c r="P172"/>
  <c r="Q172"/>
  <c r="X172"/>
  <c r="U172" s="1"/>
  <c r="V172" s="1"/>
  <c r="Q171"/>
  <c r="P171"/>
  <c r="X171"/>
  <c r="U171" s="1"/>
  <c r="V171" s="1"/>
  <c r="P170"/>
  <c r="Q170"/>
  <c r="X170"/>
  <c r="U170" s="1"/>
  <c r="V170" s="1"/>
  <c r="Q169"/>
  <c r="P169"/>
  <c r="X169"/>
  <c r="U169" s="1"/>
  <c r="V169" s="1"/>
  <c r="P168"/>
  <c r="Q168"/>
  <c r="X168"/>
  <c r="U168" s="1"/>
  <c r="V168" s="1"/>
  <c r="Q167"/>
  <c r="P167"/>
  <c r="X167"/>
  <c r="U167" s="1"/>
  <c r="V167" s="1"/>
  <c r="P166"/>
  <c r="Q166"/>
  <c r="X166"/>
  <c r="U166" s="1"/>
  <c r="V166" s="1"/>
  <c r="Q165"/>
  <c r="P165"/>
  <c r="X165"/>
  <c r="U165" s="1"/>
  <c r="V165" s="1"/>
  <c r="P164"/>
  <c r="Q164"/>
  <c r="X164"/>
  <c r="U164" s="1"/>
  <c r="V164" s="1"/>
  <c r="Q163"/>
  <c r="P163"/>
  <c r="X163"/>
  <c r="U163" s="1"/>
  <c r="V163" s="1"/>
  <c r="P162"/>
  <c r="Q162"/>
  <c r="X162"/>
  <c r="U162" s="1"/>
  <c r="V162" s="1"/>
  <c r="Q161"/>
  <c r="P161"/>
  <c r="X161"/>
  <c r="U161" s="1"/>
  <c r="V161" s="1"/>
  <c r="P160"/>
  <c r="Q160"/>
  <c r="X160"/>
  <c r="U160" s="1"/>
  <c r="V160" s="1"/>
  <c r="Q159"/>
  <c r="P159"/>
  <c r="X159"/>
  <c r="U159" s="1"/>
  <c r="V159" s="1"/>
  <c r="P158"/>
  <c r="Q158"/>
  <c r="X158"/>
  <c r="U158" s="1"/>
  <c r="V158" s="1"/>
  <c r="Q157"/>
  <c r="P157"/>
  <c r="X157"/>
  <c r="U157" s="1"/>
  <c r="V157" s="1"/>
  <c r="P156"/>
  <c r="Q156"/>
  <c r="X156"/>
  <c r="U156" s="1"/>
  <c r="V156" s="1"/>
  <c r="Q155"/>
  <c r="P155"/>
  <c r="X155"/>
  <c r="U155" s="1"/>
  <c r="V155" s="1"/>
  <c r="P154"/>
  <c r="Q154"/>
  <c r="X154"/>
  <c r="U154" s="1"/>
  <c r="V154" s="1"/>
  <c r="Q153"/>
  <c r="P153"/>
  <c r="X153"/>
  <c r="U153" s="1"/>
  <c r="V153" s="1"/>
  <c r="P152"/>
  <c r="Q152"/>
  <c r="X152"/>
  <c r="U152" s="1"/>
  <c r="V152" s="1"/>
  <c r="Q151"/>
  <c r="P151"/>
  <c r="X151"/>
  <c r="U151" s="1"/>
  <c r="V151" s="1"/>
  <c r="P150"/>
  <c r="Q150"/>
  <c r="X150"/>
  <c r="U150" s="1"/>
  <c r="V150" s="1"/>
  <c r="Q149"/>
  <c r="P149"/>
  <c r="X149"/>
  <c r="U149" s="1"/>
  <c r="V149" s="1"/>
  <c r="P148"/>
  <c r="Q148"/>
  <c r="X148"/>
  <c r="U148" s="1"/>
  <c r="V148" s="1"/>
  <c r="Q147"/>
  <c r="P147"/>
  <c r="X147"/>
  <c r="U147" s="1"/>
  <c r="V147" s="1"/>
  <c r="P146"/>
  <c r="Q146"/>
  <c r="X146"/>
  <c r="U146" s="1"/>
  <c r="V146" s="1"/>
  <c r="Q145"/>
  <c r="P145"/>
  <c r="X145"/>
  <c r="U145" s="1"/>
  <c r="V145" s="1"/>
  <c r="P144"/>
  <c r="Q144"/>
  <c r="X144"/>
  <c r="U144" s="1"/>
  <c r="V144" s="1"/>
  <c r="Q143"/>
  <c r="P143"/>
  <c r="X143"/>
  <c r="U143" s="1"/>
  <c r="V143" s="1"/>
  <c r="P142"/>
  <c r="Q142"/>
  <c r="X142"/>
  <c r="U142" s="1"/>
  <c r="V142" s="1"/>
  <c r="Q141"/>
  <c r="P141"/>
  <c r="X141"/>
  <c r="U141" s="1"/>
  <c r="V141" s="1"/>
  <c r="P140"/>
  <c r="Q140"/>
  <c r="X140"/>
  <c r="U140" s="1"/>
  <c r="V140" s="1"/>
  <c r="Q139"/>
  <c r="P139"/>
  <c r="X139"/>
  <c r="U139" s="1"/>
  <c r="V139" s="1"/>
  <c r="P138"/>
  <c r="Q138"/>
  <c r="X138"/>
  <c r="U138" s="1"/>
  <c r="V138" s="1"/>
  <c r="Q137"/>
  <c r="P137"/>
  <c r="X137"/>
  <c r="U137" s="1"/>
  <c r="V137" s="1"/>
  <c r="P136"/>
  <c r="Q136"/>
  <c r="X136"/>
  <c r="U136" s="1"/>
  <c r="V136" s="1"/>
  <c r="Q135"/>
  <c r="P135"/>
  <c r="X135"/>
  <c r="U135" s="1"/>
  <c r="V135" s="1"/>
  <c r="P134"/>
  <c r="Q134"/>
  <c r="X134"/>
  <c r="U134" s="1"/>
  <c r="V134" s="1"/>
  <c r="Q133"/>
  <c r="P133"/>
  <c r="X133"/>
  <c r="U133" s="1"/>
  <c r="V133" s="1"/>
  <c r="P132"/>
  <c r="Q132"/>
  <c r="X132"/>
  <c r="U132" s="1"/>
  <c r="V132" s="1"/>
  <c r="Q131"/>
  <c r="P131"/>
  <c r="X131"/>
  <c r="U131" s="1"/>
  <c r="V131" s="1"/>
  <c r="P130"/>
  <c r="Q130"/>
  <c r="X130"/>
  <c r="U130" s="1"/>
  <c r="V130" s="1"/>
  <c r="Q129"/>
  <c r="P129"/>
  <c r="X129"/>
  <c r="U129" s="1"/>
  <c r="V129" s="1"/>
  <c r="P128"/>
  <c r="Q128"/>
  <c r="X128"/>
  <c r="U128" s="1"/>
  <c r="V128" s="1"/>
  <c r="Q115"/>
  <c r="P115"/>
  <c r="X115"/>
  <c r="U115" s="1"/>
  <c r="V115" s="1"/>
  <c r="P114"/>
  <c r="Q114"/>
  <c r="X114"/>
  <c r="U114" s="1"/>
  <c r="V114" s="1"/>
  <c r="Q113"/>
  <c r="P113"/>
  <c r="X113"/>
  <c r="U113" s="1"/>
  <c r="V113" s="1"/>
  <c r="P112"/>
  <c r="Q112"/>
  <c r="X112"/>
  <c r="U112" s="1"/>
  <c r="V112" s="1"/>
  <c r="Q111"/>
  <c r="P111"/>
  <c r="X111"/>
  <c r="U111" s="1"/>
  <c r="V111" s="1"/>
  <c r="P110"/>
  <c r="Q110"/>
  <c r="X110"/>
  <c r="U110" s="1"/>
  <c r="V110" s="1"/>
  <c r="Q109"/>
  <c r="P109"/>
  <c r="X109"/>
  <c r="U109" s="1"/>
  <c r="V109" s="1"/>
  <c r="P108"/>
  <c r="Q108"/>
  <c r="X108"/>
  <c r="U108" s="1"/>
  <c r="V108" s="1"/>
  <c r="Q107"/>
  <c r="P107"/>
  <c r="X107"/>
  <c r="U107" s="1"/>
  <c r="V107" s="1"/>
  <c r="Q30"/>
  <c r="P30"/>
  <c r="X30"/>
  <c r="W31"/>
  <c r="P194"/>
  <c r="Q194"/>
  <c r="Q193"/>
  <c r="P193"/>
  <c r="P192"/>
  <c r="Q192"/>
  <c r="Q191"/>
  <c r="P191"/>
  <c r="P190"/>
  <c r="Q190"/>
  <c r="Q189"/>
  <c r="P189"/>
  <c r="P188"/>
  <c r="Q188"/>
  <c r="Q187"/>
  <c r="P187"/>
  <c r="P186"/>
  <c r="Q186"/>
  <c r="Q185"/>
  <c r="P185"/>
  <c r="P184"/>
  <c r="Q184"/>
  <c r="Q183"/>
  <c r="P183"/>
  <c r="P182"/>
  <c r="Q182"/>
  <c r="Q181"/>
  <c r="P181"/>
  <c r="P180"/>
  <c r="Q180"/>
  <c r="Q127"/>
  <c r="P127"/>
  <c r="X127"/>
  <c r="U127" s="1"/>
  <c r="V127" s="1"/>
  <c r="P126"/>
  <c r="Q126"/>
  <c r="X126"/>
  <c r="U126" s="1"/>
  <c r="V126" s="1"/>
  <c r="Q125"/>
  <c r="P125"/>
  <c r="X125"/>
  <c r="U125" s="1"/>
  <c r="V125" s="1"/>
  <c r="P124"/>
  <c r="Q124"/>
  <c r="X124"/>
  <c r="U124" s="1"/>
  <c r="V124" s="1"/>
  <c r="Q123"/>
  <c r="P123"/>
  <c r="X123"/>
  <c r="U123" s="1"/>
  <c r="V123" s="1"/>
  <c r="P122"/>
  <c r="Q122"/>
  <c r="X122"/>
  <c r="U122" s="1"/>
  <c r="V122" s="1"/>
  <c r="Q121"/>
  <c r="P121"/>
  <c r="X121"/>
  <c r="U121" s="1"/>
  <c r="V121" s="1"/>
  <c r="P120"/>
  <c r="Q120"/>
  <c r="X120"/>
  <c r="U120" s="1"/>
  <c r="V120" s="1"/>
  <c r="Q119"/>
  <c r="P119"/>
  <c r="X119"/>
  <c r="U119" s="1"/>
  <c r="V119" s="1"/>
  <c r="P118"/>
  <c r="Q118"/>
  <c r="X118"/>
  <c r="U118" s="1"/>
  <c r="V118" s="1"/>
  <c r="Q117"/>
  <c r="P117"/>
  <c r="X117"/>
  <c r="U117" s="1"/>
  <c r="V117" s="1"/>
  <c r="P116"/>
  <c r="Q116"/>
  <c r="X116"/>
  <c r="U116" s="1"/>
  <c r="V116" s="1"/>
  <c r="P90"/>
  <c r="Q90"/>
  <c r="X90"/>
  <c r="U90" s="1"/>
  <c r="V90" s="1"/>
  <c r="Q89"/>
  <c r="P89"/>
  <c r="X89"/>
  <c r="U89" s="1"/>
  <c r="V89" s="1"/>
  <c r="P88"/>
  <c r="Q88"/>
  <c r="X88"/>
  <c r="U88" s="1"/>
  <c r="V88" s="1"/>
  <c r="Q87"/>
  <c r="P87"/>
  <c r="X87"/>
  <c r="U87" s="1"/>
  <c r="V87" s="1"/>
  <c r="P86"/>
  <c r="Q86"/>
  <c r="X86"/>
  <c r="U86" s="1"/>
  <c r="V86" s="1"/>
  <c r="Q85"/>
  <c r="P85"/>
  <c r="X85"/>
  <c r="U85" s="1"/>
  <c r="V85" s="1"/>
  <c r="P84"/>
  <c r="Q84"/>
  <c r="X84"/>
  <c r="U84" s="1"/>
  <c r="V84" s="1"/>
  <c r="Q83"/>
  <c r="P83"/>
  <c r="X83"/>
  <c r="U83" s="1"/>
  <c r="V83" s="1"/>
  <c r="P82"/>
  <c r="Q82"/>
  <c r="X82"/>
  <c r="U82" s="1"/>
  <c r="V82" s="1"/>
  <c r="Q81"/>
  <c r="P81"/>
  <c r="X81"/>
  <c r="U81" s="1"/>
  <c r="V81" s="1"/>
  <c r="P80"/>
  <c r="Q80"/>
  <c r="X80"/>
  <c r="U80" s="1"/>
  <c r="V80" s="1"/>
  <c r="Q79"/>
  <c r="P79"/>
  <c r="X79"/>
  <c r="U79" s="1"/>
  <c r="V79" s="1"/>
  <c r="P78"/>
  <c r="Q78"/>
  <c r="X78"/>
  <c r="U78" s="1"/>
  <c r="V78" s="1"/>
  <c r="Q77"/>
  <c r="P77"/>
  <c r="X77"/>
  <c r="U77" s="1"/>
  <c r="V77" s="1"/>
  <c r="P76"/>
  <c r="Q76"/>
  <c r="X76"/>
  <c r="U76" s="1"/>
  <c r="V76" s="1"/>
  <c r="Q75"/>
  <c r="P75"/>
  <c r="X75"/>
  <c r="U75" s="1"/>
  <c r="V75" s="1"/>
  <c r="Q59"/>
  <c r="P59"/>
  <c r="X59"/>
  <c r="U59" s="1"/>
  <c r="V59" s="1"/>
  <c r="Q31"/>
  <c r="P31"/>
  <c r="X31"/>
  <c r="U31" s="1"/>
  <c r="V31" s="1"/>
  <c r="P106"/>
  <c r="Q106"/>
  <c r="Q105"/>
  <c r="P105"/>
  <c r="P104"/>
  <c r="Q104"/>
  <c r="Q103"/>
  <c r="P103"/>
  <c r="P102"/>
  <c r="Q102"/>
  <c r="Q101"/>
  <c r="P101"/>
  <c r="P100"/>
  <c r="Q100"/>
  <c r="Q99"/>
  <c r="P99"/>
  <c r="P98"/>
  <c r="Q98"/>
  <c r="Q97"/>
  <c r="P97"/>
  <c r="P96"/>
  <c r="Q96"/>
  <c r="Q95"/>
  <c r="P95"/>
  <c r="P94"/>
  <c r="Q94"/>
  <c r="Q93"/>
  <c r="P93"/>
  <c r="P92"/>
  <c r="Q92"/>
  <c r="Q91"/>
  <c r="P91"/>
  <c r="P74"/>
  <c r="Q74"/>
  <c r="Q73"/>
  <c r="P73"/>
  <c r="P72"/>
  <c r="Q72"/>
  <c r="Q71"/>
  <c r="P71"/>
  <c r="P70"/>
  <c r="Q70"/>
  <c r="Q69"/>
  <c r="P69"/>
  <c r="P68"/>
  <c r="Q68"/>
  <c r="Q67"/>
  <c r="P67"/>
  <c r="P66"/>
  <c r="Q66"/>
  <c r="Q65"/>
  <c r="P65"/>
  <c r="P64"/>
  <c r="Q64"/>
  <c r="Q63"/>
  <c r="P63"/>
  <c r="P62"/>
  <c r="Q62"/>
  <c r="Q61"/>
  <c r="P61"/>
  <c r="P60"/>
  <c r="Q60"/>
  <c r="P58"/>
  <c r="Q58"/>
  <c r="Q57"/>
  <c r="P57"/>
  <c r="P56"/>
  <c r="Q56"/>
  <c r="Q55"/>
  <c r="P55"/>
  <c r="P54"/>
  <c r="Q54"/>
  <c r="Q53"/>
  <c r="P53"/>
  <c r="P52"/>
  <c r="Q52"/>
  <c r="Q51"/>
  <c r="P51"/>
  <c r="P50"/>
  <c r="Q50"/>
  <c r="Q49"/>
  <c r="P49"/>
  <c r="P48"/>
  <c r="Q48"/>
  <c r="Q47"/>
  <c r="P47"/>
  <c r="P46"/>
  <c r="Q46"/>
  <c r="Q45"/>
  <c r="P45"/>
  <c r="P44"/>
  <c r="Q44"/>
  <c r="Q43"/>
  <c r="P43"/>
  <c r="P42"/>
  <c r="Q42"/>
  <c r="Q41"/>
  <c r="P41"/>
  <c r="P40"/>
  <c r="Q40"/>
  <c r="Q39"/>
  <c r="P39"/>
  <c r="P38"/>
  <c r="Q38"/>
  <c r="Q37"/>
  <c r="P37"/>
  <c r="P36"/>
  <c r="Q36"/>
  <c r="Q35"/>
  <c r="P35"/>
  <c r="P33"/>
  <c r="Q34"/>
  <c r="Q32"/>
  <c r="AD3" i="3" a="1"/>
  <c r="AD3" s="1"/>
  <c r="AD13" a="1"/>
  <c r="AD13" s="1"/>
  <c r="Y196" i="1" l="1"/>
  <c r="U30"/>
  <c r="X196"/>
  <c r="Q196"/>
  <c r="V30" l="1"/>
  <c r="W30" s="1"/>
  <c r="V196" l="1"/>
</calcChain>
</file>

<file path=xl/sharedStrings.xml><?xml version="1.0" encoding="utf-8"?>
<sst xmlns="http://schemas.openxmlformats.org/spreadsheetml/2006/main" count="657" uniqueCount="333">
  <si>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</si>
  <si>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</si>
  <si>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</si>
  <si>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</si>
  <si>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</si>
  <si>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</si>
  <si>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</si>
  <si>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</si>
  <si>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</si>
  <si>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</si>
  <si>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</si>
  <si>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</si>
  <si>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</si>
  <si>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</si>
  <si>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</si>
  <si>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</si>
  <si>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</si>
  <si>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</si>
  <si>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</si>
  <si>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</si>
  <si>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</si>
  <si>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</si>
  <si>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</si>
  <si>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</si>
  <si>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</si>
  <si>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</si>
  <si>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</si>
  <si>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</si>
  <si>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</si>
  <si>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</si>
  <si>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</si>
  <si>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</si>
  <si>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</si>
  <si>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</si>
  <si>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</si>
  <si>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</si>
  <si>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</si>
  <si>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</si>
  <si>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</si>
  <si>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</si>
  <si>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</si>
  <si>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</si>
  <si>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</si>
  <si>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</si>
  <si>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</si>
  <si>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</si>
  <si>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</si>
  <si>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</si>
  <si>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</si>
  <si>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</si>
  <si>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</si>
  <si>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</si>
  <si>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</si>
  <si>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</si>
  <si>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</si>
  <si>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</si>
  <si>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</si>
  <si>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</si>
  <si>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</si>
  <si>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</si>
  <si>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</si>
  <si>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</si>
  <si>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</si>
  <si>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</si>
  <si>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</si>
  <si>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</si>
  <si>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</si>
  <si>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</si>
  <si>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</si>
  <si>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</si>
  <si>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</si>
  <si>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</si>
  <si>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</si>
  <si>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</si>
  <si>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</si>
  <si>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</si>
  <si>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</si>
  <si>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</si>
  <si>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</si>
  <si>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</si>
  <si>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</si>
  <si>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</si>
  <si>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</si>
  <si>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</si>
  <si>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</si>
  <si>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</si>
  <si>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</si>
  <si>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</si>
  <si>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</si>
  <si>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</si>
  <si>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</si>
  <si>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</si>
  <si>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</si>
  <si>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</si>
  <si>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</si>
  <si>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</si>
  <si>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</si>
  <si>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</si>
  <si>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</si>
  <si>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</si>
  <si>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</si>
  <si>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</si>
  <si>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</si>
  <si>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</si>
  <si>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</si>
  <si>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</si>
  <si>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</si>
  <si>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</si>
  <si>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</si>
  <si>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</si>
  <si>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</si>
  <si>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</si>
  <si>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</si>
  <si>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</si>
  <si>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</si>
  <si>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</si>
  <si>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</si>
  <si>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</si>
  <si>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</si>
  <si>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</si>
  <si>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</si>
  <si>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</si>
  <si>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</si>
  <si>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</si>
  <si>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</si>
  <si>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</si>
  <si>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</si>
  <si>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</si>
  <si>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</si>
  <si>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</si>
  <si>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</si>
  <si>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</si>
  <si>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</si>
  <si>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</si>
  <si>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</si>
  <si>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</si>
  <si>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</si>
  <si>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</si>
  <si>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</si>
  <si>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</si>
  <si>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</si>
  <si>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</si>
  <si>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</si>
  <si>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</si>
  <si>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</si>
  <si>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</si>
  <si>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</si>
  <si>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</si>
  <si>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</si>
  <si>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</si>
  <si>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</si>
  <si>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</si>
  <si>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</si>
  <si>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</si>
  <si>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</si>
  <si>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</si>
  <si>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</si>
  <si>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</si>
  <si>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</si>
  <si>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</si>
  <si>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</si>
  <si>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</si>
  <si>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</si>
  <si>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</si>
  <si>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</si>
  <si>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</si>
  <si>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</si>
  <si>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</si>
  <si>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</si>
  <si>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</si>
  <si>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</si>
  <si>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</si>
  <si>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</si>
  <si>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</si>
  <si>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</si>
  <si>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</si>
  <si>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</si>
  <si>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</si>
  <si>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</si>
  <si>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</si>
  <si>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</si>
  <si>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</si>
  <si>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</si>
  <si>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</si>
  <si>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</si>
  <si>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</si>
  <si>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t>#</t>
  </si>
  <si>
    <t>Location</t>
  </si>
  <si>
    <t>Rating</t>
  </si>
  <si>
    <t xml:space="preserve">Phase-Injected </t>
  </si>
  <si>
    <t>After-meeting
Defect Disposition</t>
  </si>
  <si>
    <t>Defect Description</t>
  </si>
  <si>
    <t xml:space="preserve">Disposition Comments </t>
  </si>
  <si>
    <t>Defect Type/Root cause</t>
  </si>
  <si>
    <t xml:space="preserve">Phase-Detected </t>
  </si>
  <si>
    <t>MI</t>
  </si>
  <si>
    <t>E</t>
  </si>
  <si>
    <t>CO</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</si>
  <si>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</si>
  <si>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</si>
  <si>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</si>
  <si>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</si>
  <si>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</si>
  <si>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</si>
  <si>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</si>
  <si>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</si>
  <si>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</si>
  <si>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</si>
  <si>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</si>
  <si>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</si>
  <si>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</si>
  <si>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</si>
  <si>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</si>
  <si>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</si>
  <si>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</si>
  <si>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</si>
  <si>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</si>
  <si>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</si>
  <si>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</si>
  <si>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</si>
  <si>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</si>
  <si>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</si>
  <si>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</si>
  <si>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</si>
  <si>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</si>
  <si>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</si>
  <si>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</si>
  <si>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</si>
  <si>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</si>
  <si>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</si>
  <si>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</si>
  <si>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</si>
  <si>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</si>
  <si>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</si>
  <si>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</si>
  <si>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</si>
  <si>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</si>
  <si>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</si>
  <si>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</si>
  <si>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</si>
  <si>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</si>
  <si>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</si>
  <si>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</si>
  <si>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</si>
  <si>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</si>
  <si>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</si>
  <si>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</si>
  <si>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</si>
  <si>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</si>
  <si>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</si>
  <si>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</si>
  <si>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</si>
  <si>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</si>
  <si>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</si>
  <si>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</si>
  <si>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</si>
  <si>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</si>
  <si>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</si>
  <si>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</si>
  <si>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</si>
  <si>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</si>
  <si>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</si>
  <si>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</si>
  <si>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</si>
  <si>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</si>
  <si>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</si>
  <si>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</si>
  <si>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</si>
  <si>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</si>
  <si>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</si>
  <si>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</si>
  <si>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</si>
  <si>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</si>
  <si>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</si>
  <si>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</si>
  <si>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</si>
  <si>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</si>
  <si>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</si>
  <si>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</si>
  <si>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</si>
  <si>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</si>
  <si>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</si>
  <si>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</si>
  <si>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</si>
  <si>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</si>
  <si>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</si>
  <si>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</si>
  <si>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</si>
  <si>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</si>
  <si>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</si>
  <si>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</si>
  <si>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</si>
  <si>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</si>
  <si>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</si>
  <si>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</si>
  <si>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</si>
  <si>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</si>
  <si>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</si>
  <si>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</si>
  <si>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</si>
  <si>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</si>
  <si>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</si>
  <si>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</si>
  <si>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</si>
  <si>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</si>
  <si>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</si>
  <si>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</si>
  <si>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</si>
  <si>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</si>
  <si>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</si>
  <si>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</si>
  <si>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</si>
  <si>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</si>
  <si>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</si>
  <si>
    <t>Design Review Checklist</t>
  </si>
  <si>
    <t>Design Document</t>
  </si>
  <si>
    <t>Group-3</t>
  </si>
  <si>
    <t>E-Auction System</t>
  </si>
  <si>
    <t>Shailaja Patil</t>
  </si>
  <si>
    <t>DESIGN on GitHub</t>
  </si>
  <si>
    <t>Reviewed</t>
  </si>
  <si>
    <t>CR = Critical</t>
  </si>
  <si>
    <t>MA = Major</t>
  </si>
  <si>
    <t>MI = Minor</t>
  </si>
  <si>
    <t>E = Enhancement</t>
  </si>
  <si>
    <t>CO = Cosmetic</t>
  </si>
  <si>
    <t>PP = Project Plan                      UT = Unit</t>
  </si>
  <si>
    <t>Req. = Requirement                  SSIT = SSI</t>
  </si>
  <si>
    <t>HLD = High Level Design          SIT = SI</t>
  </si>
  <si>
    <t>LLD = Low LEVEL Design          RT = Release</t>
  </si>
  <si>
    <t>Code = Coding</t>
  </si>
  <si>
    <t>ACC = Accepted</t>
  </si>
  <si>
    <t>REJ = Rejected</t>
  </si>
</sst>
</file>

<file path=xl/styles.xml><?xml version="1.0" encoding="utf-8"?>
<styleSheet xmlns="http://schemas.openxmlformats.org/spreadsheetml/2006/main">
  <numFmts count="2">
    <numFmt numFmtId="164" formatCode="0.000"/>
    <numFmt numFmtId="165" formatCode="0.0"/>
  </numFmts>
  <fonts count="69">
    <font>
      <sz val="10"/>
      <name val="Arial"/>
    </font>
    <font>
      <sz val="10"/>
      <name val="Arial"/>
      <family val="2"/>
    </font>
    <font>
      <sz val="10"/>
      <name val="Bookman Old Style"/>
      <family val="1"/>
    </font>
    <font>
      <u/>
      <sz val="10"/>
      <color indexed="12"/>
      <name val="Arial"/>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10"/>
      <color indexed="31"/>
      <name val="Bookman Old Style"/>
      <family val="1"/>
    </font>
    <font>
      <i/>
      <sz val="10"/>
      <name val="Arial"/>
      <family val="2"/>
    </font>
    <font>
      <sz val="8"/>
      <name val="Arial"/>
      <family val="2"/>
    </font>
    <font>
      <b/>
      <sz val="14"/>
      <color indexed="9"/>
      <name val="Arial"/>
      <family val="2"/>
    </font>
    <font>
      <b/>
      <sz val="12"/>
      <color indexed="9"/>
      <name val="Arial"/>
      <family val="2"/>
    </font>
    <font>
      <b/>
      <sz val="10"/>
      <color indexed="63"/>
      <name val="Arial"/>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21"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22" fillId="7" borderId="9" xfId="0" applyFont="1" applyFill="1" applyBorder="1" applyAlignment="1">
      <alignment horizontal="center" vertical="center"/>
    </xf>
    <xf numFmtId="0" fontId="25" fillId="2" borderId="13" xfId="2" applyFont="1" applyFill="1" applyBorder="1" applyAlignment="1" applyProtection="1">
      <alignment vertical="center" wrapText="1"/>
      <protection hidden="1"/>
    </xf>
    <xf numFmtId="0" fontId="26" fillId="4" borderId="12" xfId="0" applyFont="1" applyFill="1" applyBorder="1" applyAlignment="1">
      <alignment vertical="center" wrapText="1"/>
    </xf>
    <xf numFmtId="0" fontId="0" fillId="4" borderId="0" xfId="0" applyFill="1"/>
    <xf numFmtId="0" fontId="25" fillId="8" borderId="14" xfId="2" applyFont="1" applyFill="1" applyBorder="1" applyAlignment="1" applyProtection="1">
      <alignment vertical="center" wrapText="1"/>
      <protection hidden="1"/>
    </xf>
    <xf numFmtId="0" fontId="27" fillId="4" borderId="0" xfId="0" applyFont="1" applyFill="1" applyAlignment="1">
      <alignment vertical="center" wrapText="1"/>
    </xf>
    <xf numFmtId="0" fontId="25" fillId="4" borderId="0" xfId="0" applyFont="1" applyFill="1" applyAlignment="1">
      <alignment vertical="center" wrapText="1"/>
    </xf>
    <xf numFmtId="0" fontId="28" fillId="4" borderId="0" xfId="0" applyFont="1" applyFill="1" applyAlignment="1">
      <alignment vertical="center" wrapText="1"/>
    </xf>
    <xf numFmtId="0" fontId="27" fillId="9" borderId="15" xfId="0" applyFont="1" applyFill="1" applyBorder="1" applyAlignment="1">
      <alignment vertical="center" wrapText="1"/>
    </xf>
    <xf numFmtId="0" fontId="27" fillId="10" borderId="16" xfId="0" applyFont="1" applyFill="1" applyBorder="1" applyAlignment="1">
      <alignment vertical="center" wrapText="1"/>
    </xf>
    <xf numFmtId="0" fontId="29" fillId="4" borderId="0" xfId="0" applyFont="1" applyFill="1" applyAlignment="1">
      <alignment horizontal="center" vertical="center" wrapText="1"/>
    </xf>
    <xf numFmtId="0" fontId="27" fillId="11" borderId="17" xfId="0" applyFont="1" applyFill="1" applyBorder="1" applyAlignment="1">
      <alignment vertical="center" wrapText="1"/>
    </xf>
    <xf numFmtId="0" fontId="27" fillId="11" borderId="16" xfId="0" applyFont="1" applyFill="1" applyBorder="1" applyAlignment="1">
      <alignment horizontal="center" vertical="center" wrapText="1"/>
    </xf>
    <xf numFmtId="0" fontId="27" fillId="2" borderId="18" xfId="2" applyFont="1" applyFill="1" applyBorder="1" applyAlignment="1" applyProtection="1">
      <alignment vertical="center" wrapText="1"/>
      <protection hidden="1"/>
    </xf>
    <xf numFmtId="0" fontId="28" fillId="4" borderId="19" xfId="2" applyFont="1" applyFill="1" applyBorder="1" applyAlignment="1" applyProtection="1">
      <alignment vertical="center" wrapText="1"/>
      <protection hidden="1"/>
    </xf>
    <xf numFmtId="0" fontId="27" fillId="2" borderId="20" xfId="2" applyFont="1" applyFill="1" applyBorder="1" applyAlignment="1" applyProtection="1">
      <alignment vertical="center" wrapText="1"/>
      <protection hidden="1"/>
    </xf>
    <xf numFmtId="0" fontId="28" fillId="4" borderId="21" xfId="2" applyFont="1" applyFill="1" applyBorder="1" applyAlignment="1" applyProtection="1">
      <alignment vertical="center" wrapText="1"/>
      <protection hidden="1"/>
    </xf>
    <xf numFmtId="0" fontId="27" fillId="2" borderId="22" xfId="2" applyFont="1" applyFill="1" applyBorder="1" applyAlignment="1" applyProtection="1">
      <alignment vertical="center" wrapText="1"/>
      <protection hidden="1"/>
    </xf>
    <xf numFmtId="0" fontId="28" fillId="0" borderId="23" xfId="2" applyFont="1" applyBorder="1" applyAlignment="1" applyProtection="1">
      <alignment vertical="center" wrapText="1"/>
      <protection hidden="1"/>
    </xf>
    <xf numFmtId="0" fontId="28" fillId="0" borderId="21" xfId="2" applyFont="1" applyBorder="1" applyAlignment="1" applyProtection="1">
      <alignment vertical="center" wrapText="1"/>
      <protection hidden="1"/>
    </xf>
    <xf numFmtId="0" fontId="27" fillId="8" borderId="20" xfId="2" applyFont="1" applyFill="1" applyBorder="1" applyAlignment="1" applyProtection="1">
      <alignment vertical="center" wrapText="1"/>
      <protection hidden="1"/>
    </xf>
    <xf numFmtId="0" fontId="28" fillId="8" borderId="21" xfId="2" applyFont="1" applyFill="1" applyBorder="1" applyAlignment="1" applyProtection="1">
      <alignment vertical="center" wrapText="1"/>
      <protection hidden="1"/>
    </xf>
    <xf numFmtId="0" fontId="27" fillId="4" borderId="24" xfId="0" applyFont="1" applyFill="1" applyBorder="1" applyAlignment="1">
      <alignment horizontal="center" vertical="center" wrapText="1"/>
    </xf>
    <xf numFmtId="0" fontId="27" fillId="4" borderId="0" xfId="0" applyFont="1" applyFill="1" applyAlignment="1">
      <alignment horizontal="center" vertical="center" wrapText="1"/>
    </xf>
    <xf numFmtId="0" fontId="27" fillId="4" borderId="25" xfId="0" applyFont="1" applyFill="1" applyBorder="1" applyAlignment="1">
      <alignment horizontal="center" vertical="center" wrapText="1"/>
    </xf>
    <xf numFmtId="0" fontId="27" fillId="4" borderId="25" xfId="0" applyFont="1" applyFill="1" applyBorder="1" applyAlignment="1">
      <alignment vertical="center" wrapText="1"/>
    </xf>
    <xf numFmtId="0" fontId="28"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30"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42" fillId="0" borderId="0" xfId="2" applyFont="1" applyProtection="1">
      <protection hidden="1"/>
    </xf>
    <xf numFmtId="0" fontId="43" fillId="0" borderId="0" xfId="0" applyFont="1" applyProtection="1">
      <protection hidden="1"/>
    </xf>
    <xf numFmtId="0" fontId="43" fillId="0" borderId="0" xfId="0" applyFont="1"/>
    <xf numFmtId="0" fontId="34" fillId="0" borderId="0" xfId="2" applyFont="1" applyProtection="1">
      <protection hidden="1"/>
    </xf>
    <xf numFmtId="0" fontId="42" fillId="0" borderId="0" xfId="2" applyFont="1" applyAlignment="1" applyProtection="1">
      <alignment vertical="center" wrapText="1"/>
      <protection hidden="1"/>
    </xf>
    <xf numFmtId="0" fontId="35"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4" fillId="0" borderId="0" xfId="0" applyFont="1" applyAlignment="1" applyProtection="1">
      <alignment horizontal="center"/>
      <protection hidden="1"/>
    </xf>
    <xf numFmtId="0" fontId="5" fillId="0" borderId="0" xfId="0" applyFont="1" applyAlignment="1" applyProtection="1">
      <alignment horizontal="center"/>
      <protection hidden="1"/>
    </xf>
    <xf numFmtId="0" fontId="6" fillId="0" borderId="0" xfId="0" applyFont="1" applyAlignment="1" applyProtection="1">
      <alignment horizontal="center"/>
      <protection hidden="1"/>
    </xf>
    <xf numFmtId="0" fontId="6" fillId="0" borderId="0" xfId="0" applyFont="1" applyProtection="1">
      <protection hidden="1"/>
    </xf>
    <xf numFmtId="0" fontId="8" fillId="0" borderId="0" xfId="0" applyFont="1" applyAlignment="1" applyProtection="1">
      <alignment shrinkToFit="1"/>
      <protection hidden="1"/>
    </xf>
    <xf numFmtId="0" fontId="2" fillId="0" borderId="0" xfId="0" applyFont="1"/>
    <xf numFmtId="0" fontId="12" fillId="0" borderId="4" xfId="0" applyFont="1" applyBorder="1" applyAlignment="1" applyProtection="1">
      <alignment horizontal="center"/>
      <protection locked="0"/>
    </xf>
    <xf numFmtId="0" fontId="13" fillId="0" borderId="0" xfId="0" applyFont="1" applyProtection="1">
      <protection hidden="1"/>
    </xf>
    <xf numFmtId="0" fontId="10" fillId="0" borderId="0" xfId="0" applyFont="1" applyProtection="1">
      <protection hidden="1"/>
    </xf>
    <xf numFmtId="0" fontId="11" fillId="0" borderId="0" xfId="0" applyFont="1" applyProtection="1">
      <protection hidden="1"/>
    </xf>
    <xf numFmtId="0" fontId="11" fillId="0" borderId="2" xfId="0" applyFont="1" applyBorder="1" applyProtection="1">
      <protection hidden="1"/>
    </xf>
    <xf numFmtId="0" fontId="11" fillId="0" borderId="3" xfId="0" applyFont="1" applyBorder="1" applyProtection="1">
      <protection hidden="1"/>
    </xf>
    <xf numFmtId="0" fontId="8" fillId="0" borderId="0" xfId="0" applyFont="1" applyProtection="1">
      <protection hidden="1"/>
    </xf>
    <xf numFmtId="0" fontId="7" fillId="0" borderId="0" xfId="0" applyFont="1" applyAlignment="1" applyProtection="1">
      <alignment horizontal="center"/>
      <protection hidden="1"/>
    </xf>
    <xf numFmtId="0" fontId="15" fillId="0" borderId="5" xfId="0" applyFont="1" applyBorder="1" applyAlignment="1" applyProtection="1">
      <alignment horizontal="center" vertical="center" wrapText="1"/>
      <protection locked="0"/>
    </xf>
    <xf numFmtId="0" fontId="6"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16" fillId="0" borderId="0" xfId="0" applyFont="1" applyAlignment="1" applyProtection="1">
      <alignment wrapText="1"/>
      <protection locked="0"/>
    </xf>
    <xf numFmtId="0" fontId="10"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16" fillId="0" borderId="0" xfId="0" applyFont="1" applyProtection="1">
      <protection hidden="1"/>
    </xf>
    <xf numFmtId="0" fontId="2" fillId="0" borderId="0" xfId="0" applyFont="1" applyAlignment="1" applyProtection="1">
      <alignment wrapText="1"/>
      <protection hidden="1"/>
    </xf>
    <xf numFmtId="0" fontId="51" fillId="17" borderId="54" xfId="0" applyFont="1" applyFill="1" applyBorder="1" applyAlignment="1" applyProtection="1">
      <alignment horizontal="center" vertical="center" wrapText="1"/>
      <protection locked="0"/>
    </xf>
    <xf numFmtId="0" fontId="51" fillId="17" borderId="54" xfId="0" applyFont="1" applyFill="1" applyBorder="1" applyAlignment="1" applyProtection="1">
      <alignment horizontal="center" vertical="center" wrapText="1"/>
      <protection hidden="1"/>
    </xf>
    <xf numFmtId="0" fontId="51" fillId="17" borderId="54" xfId="0" applyFont="1" applyFill="1" applyBorder="1" applyAlignment="1" applyProtection="1">
      <alignment horizontal="left" vertical="top" wrapText="1"/>
      <protection locked="0"/>
    </xf>
    <xf numFmtId="0" fontId="51" fillId="17" borderId="55" xfId="0" applyFont="1" applyFill="1" applyBorder="1" applyAlignment="1" applyProtection="1">
      <alignment horizontal="center" vertical="center" wrapText="1"/>
      <protection locked="0"/>
    </xf>
    <xf numFmtId="0" fontId="9" fillId="14" borderId="57" xfId="0" applyFont="1" applyFill="1" applyBorder="1" applyAlignment="1" applyProtection="1">
      <alignment horizontal="left" vertical="center" wrapText="1"/>
      <protection locked="0"/>
    </xf>
    <xf numFmtId="0" fontId="9" fillId="17" borderId="54" xfId="0" applyFont="1" applyFill="1" applyBorder="1" applyAlignment="1" applyProtection="1">
      <alignment horizontal="left" vertical="center" wrapText="1"/>
      <protection locked="0"/>
    </xf>
    <xf numFmtId="0" fontId="42"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1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1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57" fillId="0" borderId="0" xfId="2" applyFont="1"/>
    <xf numFmtId="0" fontId="59" fillId="22" borderId="54" xfId="0" applyFont="1" applyFill="1" applyBorder="1" applyAlignment="1" applyProtection="1">
      <alignment horizontal="center" vertical="top" wrapText="1"/>
      <protection locked="0"/>
    </xf>
    <xf numFmtId="0" fontId="59" fillId="22" borderId="54" xfId="0" applyFont="1" applyFill="1" applyBorder="1" applyAlignment="1" applyProtection="1">
      <alignment horizontal="left" vertical="top" wrapText="1"/>
      <protection locked="0"/>
    </xf>
    <xf numFmtId="0" fontId="61"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55" fillId="0" borderId="63" xfId="2" applyNumberFormat="1" applyFont="1" applyBorder="1" applyAlignment="1" applyProtection="1">
      <alignment horizontal="center" vertical="center"/>
      <protection locked="0"/>
    </xf>
    <xf numFmtId="164" fontId="55" fillId="0" borderId="64" xfId="2" applyNumberFormat="1" applyFont="1" applyBorder="1" applyAlignment="1" applyProtection="1">
      <alignment horizontal="center" vertical="center"/>
      <protection locked="0"/>
    </xf>
    <xf numFmtId="164" fontId="55" fillId="0" borderId="65" xfId="2" applyNumberFormat="1" applyFont="1" applyBorder="1" applyAlignment="1" applyProtection="1">
      <alignment horizontal="center" vertical="center"/>
      <protection locked="0"/>
    </xf>
    <xf numFmtId="164" fontId="55"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23" fillId="0" borderId="0" xfId="2" applyFont="1" applyAlignment="1" applyProtection="1">
      <alignment horizontal="center"/>
      <protection hidden="1"/>
    </xf>
    <xf numFmtId="0" fontId="46" fillId="18" borderId="38" xfId="0" applyFont="1" applyFill="1" applyBorder="1" applyAlignment="1" applyProtection="1">
      <alignment horizontal="center" vertical="center"/>
      <protection hidden="1"/>
    </xf>
    <xf numFmtId="0" fontId="46" fillId="18" borderId="41" xfId="0" applyFont="1" applyFill="1" applyBorder="1" applyAlignment="1" applyProtection="1">
      <alignment horizontal="center" vertical="center"/>
      <protection hidden="1"/>
    </xf>
    <xf numFmtId="0" fontId="46" fillId="18" borderId="40" xfId="0" applyFont="1" applyFill="1" applyBorder="1" applyAlignment="1" applyProtection="1">
      <alignment horizontal="left" vertical="center" indent="1"/>
      <protection hidden="1"/>
    </xf>
    <xf numFmtId="0" fontId="39" fillId="0" borderId="43" xfId="0" applyFont="1" applyBorder="1" applyAlignment="1" applyProtection="1">
      <alignment horizontal="left" vertical="center" indent="1"/>
      <protection locked="0"/>
    </xf>
    <xf numFmtId="0" fontId="39" fillId="0" borderId="39" xfId="0" applyFont="1" applyBorder="1" applyAlignment="1" applyProtection="1">
      <alignment horizontal="left" vertical="center" indent="1"/>
      <protection locked="0"/>
    </xf>
    <xf numFmtId="0" fontId="62"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51" fillId="17" borderId="53" xfId="0" applyFont="1" applyFill="1" applyBorder="1" applyAlignment="1" applyProtection="1">
      <alignment horizontal="center" vertical="top" wrapText="1"/>
      <protection hidden="1"/>
    </xf>
    <xf numFmtId="0" fontId="55" fillId="20" borderId="78" xfId="0" applyFont="1" applyFill="1" applyBorder="1" applyAlignment="1" applyProtection="1">
      <alignment horizontal="center" vertical="center"/>
      <protection locked="0"/>
    </xf>
    <xf numFmtId="0" fontId="55" fillId="26" borderId="79" xfId="0" applyFont="1" applyFill="1" applyBorder="1" applyAlignment="1" applyProtection="1">
      <alignment horizontal="center" vertical="center"/>
      <protection locked="0"/>
    </xf>
    <xf numFmtId="0" fontId="59"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43" fillId="0" borderId="0" xfId="2" applyFont="1" applyProtection="1">
      <protection locked="0"/>
    </xf>
    <xf numFmtId="165" fontId="1" fillId="7" borderId="9" xfId="0" applyNumberFormat="1" applyFont="1" applyFill="1" applyBorder="1" applyAlignment="1">
      <alignment horizontal="center" vertical="center"/>
    </xf>
    <xf numFmtId="0" fontId="42" fillId="0" borderId="0" xfId="2" applyFont="1" applyAlignment="1" applyProtection="1">
      <alignment horizontal="center"/>
      <protection hidden="1"/>
    </xf>
    <xf numFmtId="0" fontId="47" fillId="18" borderId="0" xfId="0" applyFont="1" applyFill="1" applyAlignment="1" applyProtection="1">
      <alignment horizontal="center" vertical="center" wrapText="1"/>
      <protection hidden="1"/>
    </xf>
    <xf numFmtId="0" fontId="64"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9"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65" fillId="0" borderId="0" xfId="0" applyFont="1" applyProtection="1">
      <protection hidden="1"/>
    </xf>
    <xf numFmtId="0" fontId="64" fillId="0" borderId="0" xfId="2" applyFont="1" applyAlignment="1" applyProtection="1">
      <alignment horizontal="center"/>
      <protection hidden="1"/>
    </xf>
    <xf numFmtId="0" fontId="66" fillId="17" borderId="51" xfId="0" applyFont="1" applyFill="1" applyBorder="1" applyAlignment="1" applyProtection="1">
      <alignment horizontal="left" vertical="center" wrapText="1"/>
      <protection locked="0"/>
    </xf>
    <xf numFmtId="0" fontId="66" fillId="17" borderId="54" xfId="0" applyFont="1" applyFill="1" applyBorder="1" applyAlignment="1" applyProtection="1">
      <alignment horizontal="left" vertical="center" wrapText="1"/>
      <protection locked="0"/>
    </xf>
    <xf numFmtId="0" fontId="66" fillId="17" borderId="55" xfId="0" applyFont="1" applyFill="1" applyBorder="1" applyAlignment="1" applyProtection="1">
      <alignment horizontal="left" vertical="center" wrapText="1"/>
      <protection locked="0"/>
    </xf>
    <xf numFmtId="0" fontId="66" fillId="17" borderId="55" xfId="0" applyFont="1" applyFill="1" applyBorder="1" applyAlignment="1" applyProtection="1">
      <alignment horizontal="left" vertical="center" wrapText="1"/>
      <protection hidden="1"/>
    </xf>
    <xf numFmtId="0" fontId="66" fillId="14" borderId="44" xfId="0" applyFont="1" applyFill="1" applyBorder="1" applyAlignment="1" applyProtection="1">
      <alignment horizontal="left" vertical="center" wrapText="1"/>
      <protection hidden="1"/>
    </xf>
    <xf numFmtId="0" fontId="43" fillId="0" borderId="0" xfId="2" applyFont="1" applyProtection="1">
      <protection hidden="1"/>
    </xf>
    <xf numFmtId="0" fontId="67" fillId="16" borderId="0" xfId="0" applyFont="1" applyFill="1" applyAlignment="1" applyProtection="1">
      <alignment horizontal="center" vertical="center" wrapText="1"/>
      <protection hidden="1"/>
    </xf>
    <xf numFmtId="0" fontId="43" fillId="17" borderId="51" xfId="0" applyFont="1" applyFill="1" applyBorder="1" applyAlignment="1" applyProtection="1">
      <alignment horizontal="left"/>
      <protection hidden="1"/>
    </xf>
    <xf numFmtId="0" fontId="43" fillId="17" borderId="51" xfId="0" applyFont="1" applyFill="1" applyBorder="1" applyAlignment="1" applyProtection="1">
      <alignment horizontal="left" shrinkToFit="1"/>
      <protection hidden="1"/>
    </xf>
    <xf numFmtId="0" fontId="43" fillId="17" borderId="51" xfId="0" applyFont="1" applyFill="1" applyBorder="1" applyAlignment="1" applyProtection="1">
      <alignment horizontal="center"/>
      <protection hidden="1"/>
    </xf>
    <xf numFmtId="0" fontId="43" fillId="17" borderId="51" xfId="0" applyFont="1" applyFill="1" applyBorder="1" applyProtection="1">
      <protection hidden="1"/>
    </xf>
    <xf numFmtId="0" fontId="43" fillId="17" borderId="54" xfId="0" applyFont="1" applyFill="1" applyBorder="1" applyAlignment="1" applyProtection="1">
      <alignment horizontal="left"/>
      <protection hidden="1"/>
    </xf>
    <xf numFmtId="0" fontId="43" fillId="17" borderId="54" xfId="0" applyFont="1" applyFill="1" applyBorder="1" applyAlignment="1" applyProtection="1">
      <alignment horizontal="left" shrinkToFit="1"/>
      <protection hidden="1"/>
    </xf>
    <xf numFmtId="0" fontId="43" fillId="17" borderId="54" xfId="0" applyFont="1" applyFill="1" applyBorder="1" applyAlignment="1" applyProtection="1">
      <alignment horizontal="center"/>
      <protection hidden="1"/>
    </xf>
    <xf numFmtId="0" fontId="43" fillId="17" borderId="54" xfId="0" applyFont="1" applyFill="1" applyBorder="1" applyProtection="1">
      <protection hidden="1"/>
    </xf>
    <xf numFmtId="0" fontId="43" fillId="13" borderId="6" xfId="0" applyFont="1" applyFill="1" applyBorder="1" applyAlignment="1" applyProtection="1">
      <alignment horizontal="left"/>
      <protection hidden="1"/>
    </xf>
    <xf numFmtId="0" fontId="43" fillId="13" borderId="6" xfId="0" applyFont="1" applyFill="1" applyBorder="1" applyAlignment="1" applyProtection="1">
      <alignment horizontal="left" shrinkToFit="1"/>
      <protection hidden="1"/>
    </xf>
    <xf numFmtId="0" fontId="43" fillId="13" borderId="58" xfId="0" applyFont="1" applyFill="1" applyBorder="1" applyAlignment="1" applyProtection="1">
      <alignment horizontal="center"/>
      <protection hidden="1"/>
    </xf>
    <xf numFmtId="0" fontId="43" fillId="13" borderId="1" xfId="0" applyFont="1" applyFill="1" applyBorder="1" applyProtection="1">
      <protection hidden="1"/>
    </xf>
    <xf numFmtId="0" fontId="43" fillId="13" borderId="58" xfId="0" applyFont="1" applyFill="1" applyBorder="1" applyProtection="1">
      <protection hidden="1"/>
    </xf>
    <xf numFmtId="0" fontId="43" fillId="13" borderId="1" xfId="0" applyFont="1" applyFill="1" applyBorder="1" applyAlignment="1" applyProtection="1">
      <alignment horizontal="center"/>
      <protection hidden="1"/>
    </xf>
    <xf numFmtId="0" fontId="68"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39" fillId="0" borderId="39" xfId="0" applyFont="1" applyBorder="1" applyAlignment="1" applyProtection="1">
      <alignment horizontal="left" vertical="center" indent="1"/>
      <protection hidden="1"/>
    </xf>
    <xf numFmtId="0" fontId="40" fillId="17" borderId="39" xfId="0" applyFont="1" applyFill="1" applyBorder="1" applyAlignment="1" applyProtection="1">
      <alignment horizontal="left" vertical="center" indent="1"/>
      <protection locked="0"/>
    </xf>
    <xf numFmtId="0" fontId="39" fillId="0" borderId="43" xfId="0" applyFont="1" applyBorder="1" applyAlignment="1" applyProtection="1">
      <alignment horizontal="left" vertical="center" indent="1"/>
      <protection hidden="1"/>
    </xf>
    <xf numFmtId="0" fontId="40" fillId="17" borderId="43" xfId="0" applyFont="1" applyFill="1" applyBorder="1" applyAlignment="1" applyProtection="1">
      <alignment horizontal="left" vertical="center" indent="1"/>
      <protection locked="0"/>
    </xf>
    <xf numFmtId="16" fontId="40" fillId="17" borderId="39" xfId="0" applyNumberFormat="1" applyFont="1" applyFill="1" applyBorder="1" applyAlignment="1" applyProtection="1">
      <alignment horizontal="left" vertical="center" indent="1"/>
      <protection locked="0"/>
    </xf>
    <xf numFmtId="15" fontId="40"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41" fillId="17" borderId="39" xfId="1" applyFont="1" applyFill="1" applyBorder="1" applyAlignment="1" applyProtection="1">
      <alignment horizontal="left" vertical="center" indent="1"/>
      <protection locked="0"/>
    </xf>
    <xf numFmtId="0" fontId="46" fillId="16" borderId="0" xfId="0" applyFont="1" applyFill="1" applyAlignment="1" applyProtection="1">
      <alignment horizontal="left" vertical="center" indent="1"/>
      <protection hidden="1"/>
    </xf>
    <xf numFmtId="0" fontId="47" fillId="18" borderId="0" xfId="0" applyFont="1" applyFill="1" applyAlignment="1" applyProtection="1">
      <alignment horizontal="center" vertical="center" wrapText="1"/>
      <protection hidden="1"/>
    </xf>
    <xf numFmtId="0" fontId="48" fillId="19" borderId="0" xfId="0" applyFont="1" applyFill="1" applyAlignment="1" applyProtection="1">
      <alignment horizontal="center" vertical="center" wrapText="1"/>
      <protection hidden="1"/>
    </xf>
    <xf numFmtId="0" fontId="9" fillId="17" borderId="50" xfId="0" applyFont="1" applyFill="1" applyBorder="1" applyAlignment="1" applyProtection="1">
      <alignment horizontal="left" vertical="center" wrapText="1" indent="1"/>
      <protection locked="0"/>
    </xf>
    <xf numFmtId="0" fontId="9" fillId="17" borderId="51" xfId="0" applyFont="1" applyFill="1" applyBorder="1" applyAlignment="1" applyProtection="1">
      <alignment horizontal="left" vertical="center" wrapText="1" indent="1"/>
      <protection locked="0"/>
    </xf>
    <xf numFmtId="0" fontId="9" fillId="17" borderId="51" xfId="0" applyFont="1" applyFill="1" applyBorder="1" applyAlignment="1" applyProtection="1">
      <alignment horizontal="left" vertical="center" wrapText="1"/>
      <protection locked="0"/>
    </xf>
    <xf numFmtId="0" fontId="9" fillId="17" borderId="51" xfId="0" applyFont="1" applyFill="1" applyBorder="1" applyAlignment="1" applyProtection="1">
      <alignment horizontal="left" vertical="center" wrapText="1"/>
      <protection hidden="1"/>
    </xf>
    <xf numFmtId="0" fontId="9" fillId="17" borderId="54" xfId="0" applyFont="1" applyFill="1" applyBorder="1" applyAlignment="1" applyProtection="1">
      <alignment horizontal="left" vertical="center" wrapText="1"/>
      <protection locked="0"/>
    </xf>
    <xf numFmtId="0" fontId="9" fillId="17" borderId="54" xfId="0" applyFont="1" applyFill="1" applyBorder="1" applyAlignment="1" applyProtection="1">
      <alignment horizontal="left" vertical="center" wrapText="1"/>
      <protection hidden="1"/>
    </xf>
    <xf numFmtId="0" fontId="9" fillId="17" borderId="53" xfId="0" applyFont="1" applyFill="1" applyBorder="1" applyAlignment="1" applyProtection="1">
      <alignment horizontal="left" vertical="center" wrapText="1" indent="1"/>
      <protection locked="0"/>
    </xf>
    <xf numFmtId="0" fontId="9" fillId="17" borderId="54" xfId="0" applyFont="1" applyFill="1" applyBorder="1" applyAlignment="1" applyProtection="1">
      <alignment horizontal="left" vertical="center" wrapText="1" indent="1"/>
      <protection locked="0"/>
    </xf>
    <xf numFmtId="0" fontId="33" fillId="0" borderId="10" xfId="0" applyFont="1" applyBorder="1" applyAlignment="1" applyProtection="1">
      <alignment horizontal="center" vertical="center"/>
      <protection hidden="1"/>
    </xf>
    <xf numFmtId="0" fontId="33" fillId="0" borderId="11" xfId="0" applyFont="1" applyBorder="1" applyAlignment="1" applyProtection="1">
      <alignment horizontal="center" vertical="center"/>
      <protection hidden="1"/>
    </xf>
    <xf numFmtId="0" fontId="44" fillId="15" borderId="40" xfId="0" applyFont="1" applyFill="1" applyBorder="1" applyAlignment="1" applyProtection="1">
      <alignment horizontal="left" vertical="center" indent="1"/>
      <protection hidden="1"/>
    </xf>
    <xf numFmtId="0" fontId="44" fillId="15" borderId="38" xfId="0" applyFont="1" applyFill="1" applyBorder="1" applyAlignment="1" applyProtection="1">
      <alignment horizontal="left" vertical="center" indent="1"/>
      <protection hidden="1"/>
    </xf>
    <xf numFmtId="0" fontId="44" fillId="15" borderId="41" xfId="0" applyFont="1" applyFill="1" applyBorder="1" applyAlignment="1" applyProtection="1">
      <alignment horizontal="left" vertical="center" indent="1"/>
      <protection hidden="1"/>
    </xf>
    <xf numFmtId="0" fontId="38" fillId="0" borderId="42" xfId="0" applyFont="1" applyBorder="1" applyAlignment="1" applyProtection="1">
      <alignment horizontal="left" vertical="center" indent="1"/>
      <protection hidden="1"/>
    </xf>
    <xf numFmtId="0" fontId="38" fillId="0" borderId="0" xfId="0" applyFont="1" applyAlignment="1" applyProtection="1">
      <alignment horizontal="left" vertical="center" indent="1"/>
      <protection hidden="1"/>
    </xf>
    <xf numFmtId="0" fontId="46" fillId="16" borderId="42" xfId="0" applyFont="1" applyFill="1" applyBorder="1" applyAlignment="1" applyProtection="1">
      <alignment horizontal="left" vertical="center" indent="1"/>
      <protection hidden="1"/>
    </xf>
    <xf numFmtId="0" fontId="9" fillId="14" borderId="56" xfId="0" applyFont="1" applyFill="1" applyBorder="1" applyAlignment="1" applyProtection="1">
      <alignment horizontal="left" vertical="center" wrapText="1" indent="1"/>
      <protection locked="0"/>
    </xf>
    <xf numFmtId="0" fontId="9" fillId="14" borderId="57" xfId="0" applyFont="1" applyFill="1" applyBorder="1" applyAlignment="1" applyProtection="1">
      <alignment horizontal="left" vertical="center" wrapText="1" indent="1"/>
      <protection locked="0"/>
    </xf>
    <xf numFmtId="0" fontId="9" fillId="14" borderId="57" xfId="0" applyFont="1" applyFill="1" applyBorder="1" applyAlignment="1" applyProtection="1">
      <alignment horizontal="left" vertical="center" wrapText="1"/>
      <protection locked="0"/>
    </xf>
    <xf numFmtId="0" fontId="9" fillId="14" borderId="58" xfId="0" applyFont="1" applyFill="1" applyBorder="1" applyAlignment="1" applyProtection="1">
      <alignment horizontal="left" vertical="center" wrapText="1"/>
      <protection hidden="1"/>
    </xf>
    <xf numFmtId="0" fontId="52" fillId="4" borderId="26" xfId="0" applyFont="1" applyFill="1" applyBorder="1" applyAlignment="1" applyProtection="1">
      <alignment horizontal="left" vertical="center" wrapText="1"/>
      <protection hidden="1"/>
    </xf>
    <xf numFmtId="0" fontId="52" fillId="4" borderId="28" xfId="0" applyFont="1" applyFill="1" applyBorder="1" applyAlignment="1" applyProtection="1">
      <alignment horizontal="left" vertical="center" wrapText="1"/>
      <protection hidden="1"/>
    </xf>
    <xf numFmtId="0" fontId="52" fillId="4" borderId="27" xfId="0" applyFont="1" applyFill="1" applyBorder="1" applyAlignment="1" applyProtection="1">
      <alignment horizontal="left" vertical="center" wrapText="1"/>
      <protection hidden="1"/>
    </xf>
    <xf numFmtId="0" fontId="45" fillId="15" borderId="0" xfId="0" applyFont="1" applyFill="1" applyAlignment="1">
      <alignment horizontal="left" vertical="center" indent="1"/>
    </xf>
    <xf numFmtId="0" fontId="39" fillId="0" borderId="43" xfId="0" applyFont="1" applyBorder="1" applyAlignment="1">
      <alignment horizontal="left" vertical="center" indent="1"/>
    </xf>
    <xf numFmtId="0" fontId="53" fillId="0" borderId="0" xfId="0" applyFont="1" applyAlignment="1">
      <alignment horizontal="left" vertical="center"/>
    </xf>
    <xf numFmtId="0" fontId="39" fillId="0" borderId="39" xfId="0" applyFont="1" applyBorder="1" applyAlignment="1">
      <alignment horizontal="left" vertical="center" indent="1"/>
    </xf>
    <xf numFmtId="0" fontId="53" fillId="0" borderId="0" xfId="0" applyFont="1" applyAlignment="1" applyProtection="1">
      <alignment horizontal="left" vertical="center"/>
      <protection locked="0"/>
    </xf>
    <xf numFmtId="2" fontId="53" fillId="0" borderId="0" xfId="0" applyNumberFormat="1" applyFont="1" applyAlignment="1" applyProtection="1">
      <alignment horizontal="left" vertical="center"/>
      <protection locked="0"/>
    </xf>
    <xf numFmtId="0" fontId="48" fillId="16" borderId="0" xfId="0" applyFont="1" applyFill="1" applyAlignment="1">
      <alignment horizontal="center" vertical="center"/>
    </xf>
    <xf numFmtId="0" fontId="49" fillId="20" borderId="45" xfId="0" applyFont="1" applyFill="1" applyBorder="1" applyAlignment="1">
      <alignment vertical="center" wrapText="1"/>
    </xf>
    <xf numFmtId="0" fontId="49" fillId="20" borderId="46" xfId="0" applyFont="1" applyFill="1" applyBorder="1" applyAlignment="1">
      <alignment vertical="center"/>
    </xf>
    <xf numFmtId="0" fontId="49" fillId="20" borderId="47" xfId="0" applyFont="1" applyFill="1" applyBorder="1" applyAlignment="1">
      <alignment vertical="center" wrapText="1"/>
    </xf>
    <xf numFmtId="0" fontId="49" fillId="20" borderId="48" xfId="0" applyFont="1" applyFill="1" applyBorder="1" applyAlignment="1">
      <alignment vertical="center" wrapText="1"/>
    </xf>
    <xf numFmtId="0" fontId="49" fillId="20" borderId="49" xfId="0" applyFont="1" applyFill="1" applyBorder="1" applyAlignment="1">
      <alignment vertical="center" wrapText="1"/>
    </xf>
    <xf numFmtId="0" fontId="52" fillId="4" borderId="7" xfId="0" applyFont="1" applyFill="1" applyBorder="1" applyAlignment="1" applyProtection="1">
      <alignment horizontal="left" vertical="center" wrapText="1"/>
      <protection hidden="1"/>
    </xf>
    <xf numFmtId="0" fontId="52" fillId="4" borderId="29" xfId="0" applyFont="1" applyFill="1" applyBorder="1" applyAlignment="1" applyProtection="1">
      <alignment horizontal="left" vertical="center" wrapText="1"/>
      <protection hidden="1"/>
    </xf>
    <xf numFmtId="0" fontId="52" fillId="4" borderId="30" xfId="0" applyFont="1" applyFill="1" applyBorder="1" applyAlignment="1" applyProtection="1">
      <alignment horizontal="left" vertical="center" wrapText="1"/>
      <protection hidden="1"/>
    </xf>
    <xf numFmtId="0" fontId="51" fillId="17" borderId="54" xfId="0" applyFont="1" applyFill="1" applyBorder="1" applyAlignment="1" applyProtection="1">
      <alignment horizontal="center" vertical="top" wrapText="1"/>
      <protection locked="0"/>
    </xf>
    <xf numFmtId="0" fontId="51" fillId="17" borderId="84" xfId="0" applyFont="1" applyFill="1" applyBorder="1" applyAlignment="1" applyProtection="1">
      <alignment horizontal="center" vertical="top" wrapText="1"/>
      <protection locked="0"/>
    </xf>
    <xf numFmtId="0" fontId="50" fillId="18" borderId="50" xfId="0" applyFont="1" applyFill="1" applyBorder="1" applyAlignment="1">
      <alignment horizontal="center" vertical="center"/>
    </xf>
    <xf numFmtId="0" fontId="50" fillId="18" borderId="53" xfId="0" applyFont="1" applyFill="1" applyBorder="1" applyAlignment="1">
      <alignment horizontal="center" vertical="center"/>
    </xf>
    <xf numFmtId="0" fontId="50" fillId="18" borderId="51" xfId="0" applyFont="1" applyFill="1" applyBorder="1" applyAlignment="1">
      <alignment horizontal="center" vertical="center"/>
    </xf>
    <xf numFmtId="0" fontId="50" fillId="18" borderId="54" xfId="0" applyFont="1" applyFill="1" applyBorder="1" applyAlignment="1">
      <alignment horizontal="center" vertical="center"/>
    </xf>
    <xf numFmtId="0" fontId="50" fillId="18" borderId="51" xfId="0" applyFont="1" applyFill="1" applyBorder="1" applyAlignment="1">
      <alignment horizontal="center" vertical="center" wrapText="1"/>
    </xf>
    <xf numFmtId="0" fontId="50" fillId="18" borderId="54" xfId="0" applyFont="1" applyFill="1" applyBorder="1" applyAlignment="1">
      <alignment horizontal="center" vertical="center" wrapText="1"/>
    </xf>
    <xf numFmtId="0" fontId="50" fillId="18" borderId="52" xfId="0" applyFont="1" applyFill="1" applyBorder="1" applyAlignment="1">
      <alignment horizontal="center" vertical="center" wrapText="1"/>
    </xf>
    <xf numFmtId="0" fontId="50" fillId="18" borderId="55" xfId="0" applyFont="1" applyFill="1" applyBorder="1" applyAlignment="1">
      <alignment horizontal="center" vertical="center" wrapText="1"/>
    </xf>
    <xf numFmtId="15" fontId="55" fillId="27" borderId="80" xfId="0" applyNumberFormat="1" applyFont="1" applyFill="1" applyBorder="1" applyAlignment="1" applyProtection="1">
      <alignment horizontal="center" vertical="center"/>
      <protection locked="0"/>
    </xf>
    <xf numFmtId="15" fontId="55" fillId="27" borderId="81" xfId="0" applyNumberFormat="1" applyFont="1" applyFill="1" applyBorder="1" applyAlignment="1" applyProtection="1">
      <alignment horizontal="center" vertical="center"/>
      <protection locked="0"/>
    </xf>
    <xf numFmtId="15" fontId="55" fillId="27" borderId="82" xfId="0" applyNumberFormat="1" applyFont="1" applyFill="1" applyBorder="1" applyAlignment="1" applyProtection="1">
      <alignment horizontal="center" vertical="center"/>
      <protection locked="0"/>
    </xf>
    <xf numFmtId="0" fontId="46" fillId="16" borderId="60" xfId="0" applyFont="1" applyFill="1" applyBorder="1" applyAlignment="1">
      <alignment horizontal="center" vertical="center"/>
    </xf>
    <xf numFmtId="0" fontId="44" fillId="15" borderId="0" xfId="0" applyFont="1" applyFill="1" applyAlignment="1">
      <alignment horizontal="left" vertical="center" indent="1"/>
    </xf>
    <xf numFmtId="0" fontId="55" fillId="3" borderId="43" xfId="0" applyFont="1" applyFill="1" applyBorder="1" applyAlignment="1">
      <alignment horizontal="left" vertical="center" indent="1"/>
    </xf>
    <xf numFmtId="0" fontId="55" fillId="3" borderId="39" xfId="0" applyFont="1" applyFill="1" applyBorder="1" applyAlignment="1">
      <alignment horizontal="left" vertical="center" indent="1"/>
    </xf>
    <xf numFmtId="0" fontId="55" fillId="27" borderId="83" xfId="0" applyFont="1" applyFill="1" applyBorder="1" applyAlignment="1" applyProtection="1">
      <alignment horizontal="center" vertical="center"/>
      <protection locked="0"/>
    </xf>
    <xf numFmtId="0" fontId="55" fillId="27" borderId="39" xfId="0" applyFont="1" applyFill="1" applyBorder="1" applyAlignment="1" applyProtection="1">
      <alignment horizontal="center" vertical="center"/>
      <protection locked="0"/>
    </xf>
    <xf numFmtId="0" fontId="55" fillId="27" borderId="65" xfId="0" applyFont="1" applyFill="1" applyBorder="1" applyAlignment="1" applyProtection="1">
      <alignment horizontal="center" vertical="center"/>
      <protection locked="0"/>
    </xf>
    <xf numFmtId="0" fontId="39" fillId="0" borderId="59" xfId="0" applyFont="1" applyBorder="1" applyAlignment="1">
      <alignment horizontal="left" vertical="center" indent="1"/>
    </xf>
    <xf numFmtId="15" fontId="55" fillId="3" borderId="59" xfId="0" applyNumberFormat="1" applyFont="1" applyFill="1" applyBorder="1" applyAlignment="1">
      <alignment horizontal="left" vertical="center" indent="1"/>
    </xf>
    <xf numFmtId="0" fontId="55" fillId="3" borderId="59" xfId="0" applyFont="1" applyFill="1" applyBorder="1" applyAlignment="1">
      <alignment horizontal="left" vertical="center" indent="1"/>
    </xf>
    <xf numFmtId="0" fontId="55" fillId="4" borderId="43" xfId="0" applyFont="1" applyFill="1" applyBorder="1" applyAlignment="1" applyProtection="1">
      <alignment horizontal="left" vertical="center" wrapText="1" indent="1"/>
      <protection hidden="1"/>
    </xf>
    <xf numFmtId="0" fontId="50" fillId="18" borderId="61" xfId="0" applyFont="1" applyFill="1" applyBorder="1" applyAlignment="1">
      <alignment horizontal="center" vertical="center" wrapText="1"/>
    </xf>
    <xf numFmtId="0" fontId="50" fillId="18" borderId="62" xfId="0" applyFont="1" applyFill="1" applyBorder="1" applyAlignment="1">
      <alignment horizontal="center" vertical="center" wrapText="1"/>
    </xf>
    <xf numFmtId="0" fontId="50" fillId="18" borderId="50" xfId="0" applyFont="1" applyFill="1" applyBorder="1" applyAlignment="1">
      <alignment horizontal="center" vertical="center" wrapText="1"/>
    </xf>
    <xf numFmtId="0" fontId="59" fillId="22" borderId="54" xfId="0" applyFont="1" applyFill="1" applyBorder="1" applyAlignment="1" applyProtection="1">
      <alignment horizontal="center" vertical="top" wrapText="1"/>
      <protection locked="0"/>
    </xf>
    <xf numFmtId="0" fontId="55" fillId="21" borderId="83" xfId="0" applyFont="1" applyFill="1" applyBorder="1" applyAlignment="1" applyProtection="1">
      <alignment horizontal="center" vertical="center"/>
      <protection locked="0"/>
    </xf>
    <xf numFmtId="0" fontId="55" fillId="21" borderId="39" xfId="0" applyFont="1" applyFill="1" applyBorder="1" applyAlignment="1" applyProtection="1">
      <alignment horizontal="center" vertical="center"/>
      <protection locked="0"/>
    </xf>
    <xf numFmtId="0" fontId="55" fillId="21" borderId="65" xfId="0" applyFont="1" applyFill="1" applyBorder="1" applyAlignment="1" applyProtection="1">
      <alignment horizontal="center" vertical="center"/>
      <protection locked="0"/>
    </xf>
    <xf numFmtId="0" fontId="14" fillId="0" borderId="0" xfId="0" applyFont="1" applyAlignment="1" applyProtection="1">
      <alignment horizontal="left" vertical="center" wrapText="1"/>
      <protection hidden="1"/>
    </xf>
    <xf numFmtId="0" fontId="17" fillId="0" borderId="0" xfId="0" applyFont="1" applyAlignment="1" applyProtection="1">
      <alignment horizontal="left" vertical="center" wrapText="1"/>
      <protection hidden="1"/>
    </xf>
    <xf numFmtId="0" fontId="55" fillId="4" borderId="39" xfId="0" applyFont="1" applyFill="1" applyBorder="1" applyAlignment="1" applyProtection="1">
      <alignment horizontal="left" vertical="center" wrapText="1" indent="1"/>
      <protection hidden="1"/>
    </xf>
    <xf numFmtId="0" fontId="56" fillId="18" borderId="31" xfId="0" applyFont="1" applyFill="1" applyBorder="1" applyAlignment="1">
      <alignment horizontal="center" vertical="center" wrapText="1"/>
    </xf>
    <xf numFmtId="0" fontId="56" fillId="18" borderId="32" xfId="0" applyFont="1" applyFill="1" applyBorder="1" applyAlignment="1">
      <alignment horizontal="center" vertical="center" wrapText="1"/>
    </xf>
    <xf numFmtId="0" fontId="54" fillId="18" borderId="31" xfId="0" applyFont="1" applyFill="1" applyBorder="1" applyAlignment="1">
      <alignment horizontal="center" vertical="center" wrapText="1"/>
    </xf>
    <xf numFmtId="0" fontId="54" fillId="18" borderId="32" xfId="0" applyFont="1" applyFill="1" applyBorder="1" applyAlignment="1">
      <alignment horizontal="center" vertical="center" wrapText="1"/>
    </xf>
    <xf numFmtId="0" fontId="60" fillId="22" borderId="54" xfId="0" applyFont="1" applyFill="1" applyBorder="1" applyAlignment="1" applyProtection="1">
      <alignment horizontal="center" vertical="top" wrapText="1"/>
      <protection locked="0"/>
    </xf>
    <xf numFmtId="0" fontId="27" fillId="4" borderId="0" xfId="0" applyFont="1" applyFill="1" applyAlignment="1">
      <alignment horizontal="center" vertical="center" wrapText="1"/>
    </xf>
    <xf numFmtId="0" fontId="27" fillId="4" borderId="0" xfId="0" applyFont="1" applyFill="1" applyAlignment="1">
      <alignment horizontal="center" vertical="center" textRotation="90" wrapText="1"/>
    </xf>
    <xf numFmtId="0" fontId="24" fillId="4" borderId="36" xfId="0" applyFont="1" applyFill="1" applyBorder="1" applyAlignment="1">
      <alignment horizontal="center" vertical="center" textRotation="45" wrapText="1"/>
    </xf>
    <xf numFmtId="0" fontId="24" fillId="4" borderId="37" xfId="0" applyFont="1" applyFill="1" applyBorder="1" applyAlignment="1">
      <alignment horizontal="center" vertical="center" textRotation="45" wrapText="1"/>
    </xf>
    <xf numFmtId="0" fontId="45" fillId="24" borderId="40" xfId="0" applyFont="1" applyFill="1" applyBorder="1" applyAlignment="1" applyProtection="1">
      <alignment horizontal="left" vertical="center" wrapText="1" indent="1"/>
      <protection hidden="1"/>
    </xf>
    <xf numFmtId="0" fontId="62" fillId="15" borderId="38" xfId="0" applyFont="1" applyFill="1" applyBorder="1" applyAlignment="1" applyProtection="1">
      <alignment horizontal="left" indent="1"/>
      <protection hidden="1"/>
    </xf>
    <xf numFmtId="0" fontId="62" fillId="15" borderId="41" xfId="0" applyFont="1" applyFill="1" applyBorder="1" applyAlignment="1" applyProtection="1">
      <alignment horizontal="left" indent="1"/>
      <protection hidden="1"/>
    </xf>
    <xf numFmtId="0" fontId="63" fillId="25" borderId="67" xfId="0" applyFont="1" applyFill="1" applyBorder="1" applyAlignment="1" applyProtection="1">
      <alignment horizontal="left" vertical="center" indent="1"/>
      <protection hidden="1"/>
    </xf>
    <xf numFmtId="0" fontId="63" fillId="25" borderId="68" xfId="0" applyFont="1" applyFill="1" applyBorder="1" applyAlignment="1" applyProtection="1">
      <alignment horizontal="left" vertical="center" indent="1"/>
      <protection hidden="1"/>
    </xf>
    <xf numFmtId="0" fontId="63" fillId="25" borderId="72" xfId="0" applyFont="1" applyFill="1" applyBorder="1" applyAlignment="1" applyProtection="1">
      <alignment horizontal="left" vertical="center" indent="1"/>
      <protection hidden="1"/>
    </xf>
    <xf numFmtId="0" fontId="20" fillId="12" borderId="33" xfId="0" applyFont="1" applyFill="1" applyBorder="1" applyAlignment="1">
      <alignment horizontal="center"/>
    </xf>
    <xf numFmtId="0" fontId="20" fillId="12" borderId="34" xfId="0" applyFont="1" applyFill="1" applyBorder="1" applyAlignment="1">
      <alignment horizontal="center"/>
    </xf>
    <xf numFmtId="0" fontId="20" fillId="12" borderId="35" xfId="0" applyFont="1" applyFill="1" applyBorder="1" applyAlignment="1">
      <alignment horizontal="center"/>
    </xf>
  </cellXfs>
  <cellStyles count="3">
    <cellStyle name="Hyperlink" xfId="1" builtinId="8"/>
    <cellStyle name="Normal" xfId="0" builtinId="0"/>
    <cellStyle name="Normal_PRD_Metrics_report_Apr_2006" xfId="2"/>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5.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xmlns="" id="{00000000-0008-0000-0000-000004000000}"/>
            </a:ext>
          </a:extLst>
        </xdr:cNvPr>
        <xdr:cNvGrpSpPr>
          <a:grpSpLocks/>
        </xdr:cNvGrpSpPr>
      </xdr:nvGrpSpPr>
      <xdr:grpSpPr bwMode="auto">
        <a:xfrm>
          <a:off x="8026404" y="142866"/>
          <a:ext cx="2755901" cy="552459"/>
          <a:chOff x="8086725" y="5324475"/>
          <a:chExt cx="2461677" cy="624420"/>
        </a:xfrm>
      </xdr:grpSpPr>
      <xdr:sp macro="" textlink="">
        <xdr:nvSpPr>
          <xdr:cNvPr id="5" name="Rectangle 4">
            <a:extLst>
              <a:ext uri="{FF2B5EF4-FFF2-40B4-BE49-F238E27FC236}">
                <a16:creationId xmlns:a16="http://schemas.microsoft.com/office/drawing/2014/main" xmlns=""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xmlns=""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xmlns=""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xmlns=""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xmlns=""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xmlns=""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xmlns=""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xmlns=""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xmlns=""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xmlns=""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xmlns=""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xmlns=""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xmlns=""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xmlns=""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xmlns=""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xmlns=""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xmlns=""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xmlns=""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xmlns=""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xmlns=""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xmlns=""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xmlns=""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xmlns=""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AppData/Local/Temp/Temp1_Inventory-Analysis-Software-group5-main.zip/Inventory-Analysis-Software-group5-main/AppData/Local/Temp/Temp1_Process%20Update%20for%20Upload.zip/Process%20Update%20for%20Upload" TargetMode="External"/><Relationship Id="rId6" Type="http://schemas.openxmlformats.org/officeDocument/2006/relationships/control" Target="../activeX/activeX2.xml"/><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A1:CS775"/>
  <sheetViews>
    <sheetView showGridLines="0" topLeftCell="A13" workbookViewId="0">
      <selection activeCell="B30" sqref="B30:O159"/>
    </sheetView>
  </sheetViews>
  <sheetFormatPr defaultColWidth="9.28515625" defaultRowHeight="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5.75" thickBot="1"/>
    <row r="775" spans="44:60" ht="15.75" thickTop="1">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formula1>$Q$2:$Q$5</formula1>
    </dataValidation>
    <dataValidation type="list" allowBlank="1" showInputMessage="1" showErrorMessage="1" sqref="E12">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formula1>TODAY()</formula1>
    </dataValidation>
    <dataValidation type="textLength" operator="greaterThan" allowBlank="1" showInputMessage="1" showErrorMessage="1" sqref="E8:F8 E20:E21 E13 E16:E17 E10:M10">
      <formula1>0</formula1>
    </dataValidation>
    <dataValidation type="date" operator="greaterThan" allowBlank="1" showInputMessage="1" showErrorMessage="1" error="&quot;Defect logs due&quot; date should be greater than &quot;Inspection Notice Date&quot;...." sqref="E19">
      <formula1>$E$18</formula1>
    </dataValidation>
    <dataValidation type="date" operator="greaterThan" allowBlank="1" showInputMessage="1" showErrorMessage="1" error="&quot;Meeting Date / Time&quot; date should be greater than &quot;Inspection Notice Date&quot;...." sqref="E23:E24">
      <formula1>$E$18</formula1>
    </dataValidation>
    <dataValidation type="list" allowBlank="1" showInputMessage="1" showErrorMessage="1" sqref="AJ30:AJ194">
      <formula1>"Critical,Non-Critical"</formula1>
    </dataValidation>
    <dataValidation type="list" allowBlank="1" showInputMessage="1" showErrorMessage="1" sqref="F20:M20">
      <formula1>"Artifact is ready for a Full normal Inspection,Artifact should be re-submitted after more work"</formula1>
    </dataValidation>
    <dataValidation type="decimal" allowBlank="1" showInputMessage="1" showErrorMessage="1" sqref="F14:M15">
      <formula1>0</formula1>
      <formula2>99999</formula2>
    </dataValidation>
    <dataValidation type="list" allowBlank="1" showInputMessage="1" showErrorMessage="1" sqref="F12:M12">
      <formula1>$AE$1:$AE$15</formula1>
    </dataValidation>
    <dataValidation type="list" allowBlank="1" showInputMessage="1" showErrorMessage="1" sqref="B30:C194">
      <formula1>$Q$6:$Q$7</formula1>
    </dataValidation>
  </dataValidations>
  <hyperlinks>
    <hyperlink ref="F22" r:id="rId1" display="\\GURNT039\Quality_SQA\SQA_Activity\Bhashita\Group Activity\Inspection Template update\Inspection Template\New folder\"/>
  </hyperlinks>
  <pageMargins left="0.75" right="0.75" top="1" bottom="1" header="0.5" footer="0.5"/>
  <pageSetup paperSize="9" orientation="portrait" r:id="rId2"/>
  <headerFooter alignWithMargins="0"/>
  <drawing r:id="rId3"/>
  <legacyDrawing r:id="rId4"/>
  <controls>
    <control shapeId="1172" r:id="rId5" name="CommandButton2"/>
    <control shapeId="1050" r:id="rId6" name="CommandButton1"/>
  </controls>
</worksheet>
</file>

<file path=xl/worksheets/sheet2.xml><?xml version="1.0" encoding="utf-8"?>
<worksheet xmlns="http://schemas.openxmlformats.org/spreadsheetml/2006/main" xmlns:r="http://schemas.openxmlformats.org/officeDocument/2006/relationships">
  <sheetPr codeName="Sheet2"/>
  <dimension ref="A1:BE1538"/>
  <sheetViews>
    <sheetView showGridLines="0" tabSelected="1" workbookViewId="0">
      <selection activeCell="H16" sqref="H16:J16"/>
    </sheetView>
  </sheetViews>
  <sheetFormatPr defaultColWidth="9.28515625" defaultRowHeight="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22.425781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9" t="s">
        <v>168</v>
      </c>
      <c r="C4" s="199"/>
      <c r="D4" s="98"/>
      <c r="E4" s="200" t="s">
        <v>317</v>
      </c>
      <c r="F4" s="200"/>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1" t="s">
        <v>170</v>
      </c>
      <c r="C5" s="201"/>
      <c r="D5" s="98"/>
      <c r="E5" s="200" t="s">
        <v>314</v>
      </c>
      <c r="F5" s="200"/>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1" t="s">
        <v>172</v>
      </c>
      <c r="C6" s="201"/>
      <c r="D6" s="98"/>
      <c r="E6" s="200" t="s">
        <v>315</v>
      </c>
      <c r="F6" s="200"/>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1" t="s">
        <v>174</v>
      </c>
      <c r="C7" s="201"/>
      <c r="D7" s="98"/>
      <c r="E7" s="202" t="s">
        <v>316</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6.5" thickTop="1" thickBot="1">
      <c r="B8" s="201" t="s">
        <v>175</v>
      </c>
      <c r="C8" s="201"/>
      <c r="D8" s="98"/>
      <c r="E8" s="202" t="s">
        <v>318</v>
      </c>
      <c r="F8" s="202"/>
      <c r="G8" s="54"/>
      <c r="H8" s="54"/>
      <c r="I8" s="55"/>
      <c r="J8" s="56"/>
      <c r="K8" s="64"/>
      <c r="L8" s="57"/>
      <c r="M8" s="66">
        <f>COUNTA(H22:H71)</f>
        <v>1</v>
      </c>
      <c r="N8" s="65">
        <f>COUNTA(#REF!)</f>
        <v>1</v>
      </c>
      <c r="O8" s="64"/>
      <c r="P8" s="64"/>
      <c r="Q8" s="1"/>
      <c r="S8" s="59"/>
      <c r="T8" s="60"/>
      <c r="U8" s="55"/>
      <c r="V8" s="1" t="s">
        <v>176</v>
      </c>
      <c r="Z8" s="54"/>
      <c r="AA8" s="54"/>
      <c r="AB8" s="54"/>
      <c r="AC8" s="54"/>
      <c r="AD8" s="54"/>
      <c r="BA8" s="1"/>
      <c r="BB8" s="1"/>
      <c r="BC8" s="1"/>
      <c r="BD8" s="1"/>
      <c r="BE8" s="1"/>
    </row>
    <row r="9" spans="2:57" ht="15.75" thickTop="1">
      <c r="B9" s="201" t="s">
        <v>177</v>
      </c>
      <c r="C9" s="201"/>
      <c r="D9" s="98"/>
      <c r="E9" s="202">
        <v>30</v>
      </c>
      <c r="F9" s="202"/>
      <c r="G9" s="54"/>
      <c r="H9" s="54"/>
      <c r="I9" s="55"/>
      <c r="J9" s="56"/>
      <c r="K9" s="67"/>
      <c r="L9" s="64"/>
      <c r="M9" s="64"/>
      <c r="N9" s="64" t="str">
        <f>'Inspection Details'!T12</f>
        <v>Code_Inspection Summary_Code.xlsm</v>
      </c>
      <c r="O9" s="58"/>
      <c r="P9" s="1"/>
      <c r="Q9" s="1"/>
      <c r="S9" s="59"/>
      <c r="T9" s="60"/>
      <c r="U9" s="55"/>
      <c r="V9" s="1" t="s">
        <v>178</v>
      </c>
      <c r="Z9" s="54"/>
      <c r="AA9" s="54"/>
      <c r="AB9" s="54"/>
      <c r="AC9" s="54"/>
      <c r="AD9" s="54"/>
      <c r="BA9" s="1"/>
      <c r="BB9" s="1"/>
      <c r="BC9" s="1"/>
      <c r="BD9" s="1"/>
      <c r="BE9" s="1"/>
    </row>
    <row r="10" spans="2:57" ht="15.75" thickBot="1">
      <c r="B10" s="201" t="str">
        <f>IF(E6="Code","No.of Lines Reviewed(KSLOC) :","No.of Pages Reviewed")</f>
        <v>No.of Pages Reviewed</v>
      </c>
      <c r="C10" s="201"/>
      <c r="D10" s="98"/>
      <c r="E10" s="203">
        <v>10</v>
      </c>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7.25" thickTop="1" thickBot="1">
      <c r="B11" s="54"/>
      <c r="C11" s="54"/>
      <c r="D11" s="54"/>
      <c r="E11" s="54"/>
      <c r="F11" s="54"/>
      <c r="G11" s="54"/>
      <c r="H11" s="54"/>
      <c r="I11" s="54"/>
      <c r="J11" s="54"/>
      <c r="K11" s="54"/>
      <c r="M11" s="61" t="e">
        <f>#REF!*1</f>
        <v>#REF!</v>
      </c>
      <c r="N11" s="1"/>
      <c r="O11" s="62" t="s">
        <v>179</v>
      </c>
      <c r="P11" s="56" t="e">
        <f t="array" ref="P11">SUM(IF($E$22:$E$71=#REF!,1,0))</f>
        <v>#REF!</v>
      </c>
      <c r="Q11" s="1"/>
      <c r="X11" s="59"/>
      <c r="Y11" s="60"/>
      <c r="Z11" s="60"/>
    </row>
    <row r="12" spans="2:57" ht="16.5" customHeight="1" thickTop="1" thickBot="1">
      <c r="B12" s="204" t="s">
        <v>180</v>
      </c>
      <c r="C12" s="204"/>
      <c r="D12" s="54"/>
      <c r="E12" s="204" t="s">
        <v>180</v>
      </c>
      <c r="F12" s="204"/>
      <c r="G12" s="204"/>
      <c r="H12" s="204" t="s">
        <v>181</v>
      </c>
      <c r="I12" s="204"/>
      <c r="J12" s="204"/>
      <c r="K12" s="54"/>
      <c r="N12" s="1"/>
      <c r="O12" s="1"/>
      <c r="P12" s="1"/>
      <c r="Q12" s="1"/>
      <c r="X12" s="62"/>
      <c r="Y12" s="60"/>
      <c r="Z12" s="60"/>
    </row>
    <row r="13" spans="2:57" ht="14.25" customHeight="1" thickTop="1" thickBot="1">
      <c r="B13" s="205" t="s">
        <v>182</v>
      </c>
      <c r="C13" s="206"/>
      <c r="D13" s="54"/>
      <c r="E13" s="207" t="s">
        <v>183</v>
      </c>
      <c r="F13" s="208"/>
      <c r="G13" s="209"/>
      <c r="H13" s="207" t="s">
        <v>184</v>
      </c>
      <c r="I13" s="208"/>
      <c r="J13" s="209"/>
      <c r="K13" s="54"/>
      <c r="M13" s="69" t="s">
        <v>185</v>
      </c>
      <c r="N13" s="1"/>
      <c r="O13" s="1"/>
      <c r="P13" s="1"/>
      <c r="Q13" s="1"/>
    </row>
    <row r="14" spans="2:57" ht="12.75" customHeight="1">
      <c r="B14" s="210" t="s">
        <v>321</v>
      </c>
      <c r="C14" s="211"/>
      <c r="D14" s="54"/>
      <c r="E14" s="210" t="s">
        <v>326</v>
      </c>
      <c r="F14" s="212"/>
      <c r="G14" s="211"/>
      <c r="H14" s="210" t="s">
        <v>331</v>
      </c>
      <c r="I14" s="212"/>
      <c r="J14" s="211"/>
      <c r="K14" s="54"/>
      <c r="N14" s="1"/>
      <c r="O14" s="1"/>
      <c r="P14" s="1"/>
      <c r="Q14" s="1"/>
    </row>
    <row r="15" spans="2:57" ht="12.75" customHeight="1">
      <c r="B15" s="195" t="s">
        <v>322</v>
      </c>
      <c r="C15" s="197"/>
      <c r="D15" s="54"/>
      <c r="E15" s="195" t="s">
        <v>327</v>
      </c>
      <c r="F15" s="196"/>
      <c r="G15" s="197"/>
      <c r="H15" s="195" t="s">
        <v>332</v>
      </c>
      <c r="I15" s="196"/>
      <c r="J15" s="197"/>
      <c r="K15" s="54"/>
      <c r="N15" s="1"/>
      <c r="O15" s="1"/>
      <c r="P15" s="1"/>
      <c r="Q15" s="1"/>
    </row>
    <row r="16" spans="2:57" ht="12.75" customHeight="1">
      <c r="B16" s="195" t="s">
        <v>323</v>
      </c>
      <c r="C16" s="197"/>
      <c r="D16" s="54"/>
      <c r="E16" s="195" t="s">
        <v>328</v>
      </c>
      <c r="F16" s="196"/>
      <c r="G16" s="197"/>
      <c r="H16" s="195" t="s">
        <v>224</v>
      </c>
      <c r="I16" s="196"/>
      <c r="J16" s="197"/>
      <c r="K16" s="54"/>
      <c r="N16" s="1"/>
      <c r="O16" s="1"/>
      <c r="P16" s="1"/>
      <c r="Q16" s="1"/>
    </row>
    <row r="17" spans="2:30" ht="12.75" customHeight="1">
      <c r="B17" s="195" t="s">
        <v>324</v>
      </c>
      <c r="C17" s="197"/>
      <c r="D17" s="54"/>
      <c r="E17" s="195" t="s">
        <v>329</v>
      </c>
      <c r="F17" s="196"/>
      <c r="G17" s="197"/>
      <c r="H17" s="195"/>
      <c r="I17" s="196"/>
      <c r="J17" s="197"/>
      <c r="K17" s="54"/>
      <c r="M17" s="70"/>
    </row>
    <row r="18" spans="2:30" ht="12.75" customHeight="1">
      <c r="B18" s="195" t="s">
        <v>325</v>
      </c>
      <c r="C18" s="197"/>
      <c r="D18" s="54"/>
      <c r="E18" s="195" t="s">
        <v>330</v>
      </c>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5" t="s">
        <v>186</v>
      </c>
      <c r="C20" s="217" t="s">
        <v>187</v>
      </c>
      <c r="D20" s="217"/>
      <c r="E20" s="217" t="s">
        <v>188</v>
      </c>
      <c r="F20" s="219" t="s">
        <v>189</v>
      </c>
      <c r="G20" s="219" t="s">
        <v>190</v>
      </c>
      <c r="H20" s="219" t="s">
        <v>191</v>
      </c>
      <c r="I20" s="219" t="s">
        <v>192</v>
      </c>
      <c r="J20" s="221" t="s">
        <v>193</v>
      </c>
      <c r="K20" s="221" t="s">
        <v>194</v>
      </c>
      <c r="M20" s="1"/>
      <c r="N20" s="1"/>
      <c r="O20" s="1"/>
      <c r="P20" s="1"/>
      <c r="Q20" s="1"/>
    </row>
    <row r="21" spans="2:30" ht="20.100000000000001" customHeight="1">
      <c r="B21" s="216"/>
      <c r="C21" s="218"/>
      <c r="D21" s="218"/>
      <c r="E21" s="218"/>
      <c r="F21" s="220"/>
      <c r="G21" s="220"/>
      <c r="H21" s="220"/>
      <c r="I21" s="220"/>
      <c r="J21" s="222"/>
      <c r="K21" s="222"/>
      <c r="M21" s="1"/>
      <c r="N21" s="1"/>
      <c r="O21" s="1"/>
      <c r="P21" s="1"/>
      <c r="Q21" s="1"/>
      <c r="S21" s="63">
        <v>1</v>
      </c>
    </row>
    <row r="22" spans="2:30">
      <c r="B22" s="125">
        <v>1</v>
      </c>
      <c r="C22" s="214" t="s">
        <v>319</v>
      </c>
      <c r="D22" s="214"/>
      <c r="E22" s="82" t="s">
        <v>165</v>
      </c>
      <c r="F22" s="82" t="s">
        <v>12</v>
      </c>
      <c r="G22" s="83" t="s">
        <v>160</v>
      </c>
      <c r="H22" s="84" t="s">
        <v>314</v>
      </c>
      <c r="I22" s="84" t="s">
        <v>320</v>
      </c>
      <c r="J22" s="85"/>
      <c r="K22" s="82"/>
      <c r="M22" s="1"/>
      <c r="N22" s="1"/>
      <c r="O22" s="1"/>
      <c r="P22" s="1"/>
      <c r="Q22" s="1"/>
      <c r="S22" s="63">
        <v>2</v>
      </c>
    </row>
    <row r="23" spans="2:30">
      <c r="B23" s="125"/>
      <c r="C23" s="214"/>
      <c r="D23" s="214"/>
      <c r="E23" s="82"/>
      <c r="F23" s="82"/>
      <c r="G23" s="83"/>
      <c r="H23" s="84"/>
      <c r="I23" s="84"/>
      <c r="J23" s="85"/>
      <c r="K23" s="82"/>
      <c r="M23" s="1"/>
      <c r="N23" s="1"/>
      <c r="O23" s="1"/>
      <c r="P23" s="1"/>
      <c r="Q23" s="1"/>
      <c r="S23" s="63">
        <v>3</v>
      </c>
    </row>
    <row r="24" spans="2:30">
      <c r="B24" s="125"/>
      <c r="C24" s="214"/>
      <c r="D24" s="214"/>
      <c r="E24" s="82"/>
      <c r="F24" s="82"/>
      <c r="G24" s="83"/>
      <c r="H24" s="84"/>
      <c r="I24" s="84"/>
      <c r="J24" s="85"/>
      <c r="K24" s="82"/>
      <c r="M24" s="1"/>
      <c r="N24" s="1"/>
      <c r="O24" s="1"/>
      <c r="P24" s="1"/>
      <c r="Q24" s="1"/>
      <c r="S24" s="63">
        <v>4</v>
      </c>
      <c r="AA24" s="81"/>
    </row>
    <row r="25" spans="2:30">
      <c r="B25" s="125"/>
      <c r="C25" s="214"/>
      <c r="D25" s="214"/>
      <c r="E25" s="82"/>
      <c r="F25" s="82"/>
      <c r="G25" s="83"/>
      <c r="H25" s="84"/>
      <c r="I25" s="84"/>
      <c r="J25" s="85"/>
      <c r="K25" s="82"/>
      <c r="M25" s="1"/>
      <c r="N25" s="1"/>
      <c r="O25" s="1"/>
      <c r="P25" s="1"/>
      <c r="Q25" s="1"/>
      <c r="S25" s="63">
        <v>5</v>
      </c>
    </row>
    <row r="26" spans="2:30">
      <c r="B26" s="125"/>
      <c r="C26" s="214"/>
      <c r="D26" s="214"/>
      <c r="E26" s="82"/>
      <c r="F26" s="82"/>
      <c r="G26" s="83"/>
      <c r="H26" s="84"/>
      <c r="I26" s="84"/>
      <c r="J26" s="85"/>
      <c r="K26" s="82"/>
      <c r="M26" s="1"/>
      <c r="N26" s="1"/>
      <c r="O26" s="1"/>
      <c r="P26" s="1"/>
      <c r="Q26" s="1"/>
      <c r="S26" s="63">
        <v>6</v>
      </c>
    </row>
    <row r="27" spans="2:30">
      <c r="B27" s="125"/>
      <c r="C27" s="213"/>
      <c r="D27" s="213"/>
      <c r="E27" s="82"/>
      <c r="F27" s="82"/>
      <c r="G27" s="83"/>
      <c r="H27" s="84"/>
      <c r="I27" s="84"/>
      <c r="J27" s="85"/>
      <c r="K27" s="82"/>
      <c r="M27" s="1"/>
      <c r="N27" s="1"/>
      <c r="O27" s="1"/>
      <c r="P27" s="1"/>
      <c r="Q27" s="1"/>
      <c r="S27" s="63">
        <v>466</v>
      </c>
    </row>
    <row r="28" spans="2:30">
      <c r="B28" s="125"/>
      <c r="C28" s="213"/>
      <c r="D28" s="213"/>
      <c r="E28" s="82"/>
      <c r="F28" s="82"/>
      <c r="G28" s="83"/>
      <c r="H28" s="84"/>
      <c r="I28" s="84"/>
      <c r="J28" s="85"/>
      <c r="K28" s="82"/>
      <c r="M28" s="1"/>
      <c r="N28" s="1"/>
      <c r="O28" s="1"/>
      <c r="P28" s="1"/>
      <c r="Q28" s="1"/>
      <c r="S28" s="63">
        <v>467</v>
      </c>
    </row>
    <row r="29" spans="2:30">
      <c r="B29" s="125"/>
      <c r="C29" s="213"/>
      <c r="D29" s="213"/>
      <c r="E29" s="82"/>
      <c r="F29" s="82"/>
      <c r="G29" s="83"/>
      <c r="H29" s="84"/>
      <c r="I29" s="84"/>
      <c r="J29" s="85"/>
      <c r="K29" s="82"/>
      <c r="M29" s="1"/>
      <c r="N29" s="1"/>
      <c r="O29" s="1"/>
      <c r="P29" s="1"/>
      <c r="Q29" s="1"/>
      <c r="S29" s="63">
        <v>468</v>
      </c>
    </row>
    <row r="30" spans="2:30">
      <c r="B30" s="125"/>
      <c r="C30" s="213"/>
      <c r="D30" s="213"/>
      <c r="E30" s="82"/>
      <c r="F30" s="82"/>
      <c r="G30" s="83"/>
      <c r="H30" s="84"/>
      <c r="I30" s="84"/>
      <c r="J30" s="85"/>
      <c r="K30" s="82"/>
      <c r="M30" s="1"/>
      <c r="N30" s="1"/>
      <c r="O30" s="1"/>
      <c r="P30" s="1"/>
      <c r="Q30" s="1"/>
      <c r="S30" s="63">
        <v>469</v>
      </c>
    </row>
    <row r="31" spans="2:30">
      <c r="B31" s="125"/>
      <c r="C31" s="213"/>
      <c r="D31" s="213"/>
      <c r="E31" s="82"/>
      <c r="F31" s="82"/>
      <c r="G31" s="83"/>
      <c r="H31" s="84"/>
      <c r="I31" s="84"/>
      <c r="J31" s="85"/>
      <c r="K31" s="82"/>
      <c r="M31" s="1"/>
      <c r="N31" s="1"/>
      <c r="O31" s="1"/>
      <c r="P31" s="1"/>
      <c r="Q31" s="1"/>
      <c r="S31" s="63">
        <v>470</v>
      </c>
    </row>
    <row r="32" spans="2:30">
      <c r="B32" s="125"/>
      <c r="C32" s="213"/>
      <c r="D32" s="213"/>
      <c r="E32" s="82"/>
      <c r="F32" s="82"/>
      <c r="G32" s="83"/>
      <c r="H32" s="84"/>
      <c r="I32" s="84"/>
      <c r="J32" s="85"/>
      <c r="K32" s="82"/>
      <c r="M32" s="1"/>
      <c r="N32" s="1"/>
      <c r="O32" s="1"/>
      <c r="P32" s="1"/>
      <c r="Q32" s="1"/>
      <c r="S32" s="63">
        <v>471</v>
      </c>
    </row>
    <row r="33" spans="2:19">
      <c r="B33" s="125"/>
      <c r="C33" s="213"/>
      <c r="D33" s="213"/>
      <c r="E33" s="82"/>
      <c r="F33" s="82"/>
      <c r="G33" s="83"/>
      <c r="H33" s="84"/>
      <c r="I33" s="84"/>
      <c r="J33" s="85"/>
      <c r="K33" s="82"/>
      <c r="M33" s="1"/>
      <c r="N33" s="1"/>
      <c r="O33" s="1"/>
      <c r="P33" s="1"/>
      <c r="Q33" s="1"/>
      <c r="S33" s="63">
        <v>472</v>
      </c>
    </row>
    <row r="34" spans="2:19">
      <c r="B34" s="125"/>
      <c r="C34" s="213"/>
      <c r="D34" s="213"/>
      <c r="E34" s="82"/>
      <c r="F34" s="82"/>
      <c r="G34" s="83"/>
      <c r="H34" s="84"/>
      <c r="I34" s="84"/>
      <c r="J34" s="85"/>
      <c r="K34" s="82"/>
      <c r="M34" s="1"/>
      <c r="N34" s="1"/>
      <c r="O34" s="1"/>
      <c r="P34" s="1"/>
      <c r="Q34" s="1"/>
      <c r="S34" s="63">
        <v>473</v>
      </c>
    </row>
    <row r="35" spans="2:19">
      <c r="B35" s="125"/>
      <c r="C35" s="213"/>
      <c r="D35" s="213"/>
      <c r="E35" s="82"/>
      <c r="F35" s="82"/>
      <c r="G35" s="83"/>
      <c r="H35" s="84"/>
      <c r="I35" s="84"/>
      <c r="J35" s="85"/>
      <c r="K35" s="82"/>
      <c r="M35" s="1"/>
      <c r="N35" s="1"/>
      <c r="O35" s="1"/>
      <c r="P35" s="1"/>
      <c r="Q35" s="1"/>
      <c r="S35" s="63">
        <v>474</v>
      </c>
    </row>
    <row r="36" spans="2:19">
      <c r="B36" s="125"/>
      <c r="C36" s="213"/>
      <c r="D36" s="213"/>
      <c r="E36" s="82"/>
      <c r="F36" s="82"/>
      <c r="G36" s="83"/>
      <c r="H36" s="84"/>
      <c r="I36" s="84"/>
      <c r="J36" s="85"/>
      <c r="K36" s="82"/>
      <c r="M36" s="1"/>
      <c r="N36" s="1"/>
      <c r="O36" s="1"/>
      <c r="P36" s="1"/>
      <c r="Q36" s="1"/>
      <c r="S36" s="63">
        <v>475</v>
      </c>
    </row>
    <row r="37" spans="2:19">
      <c r="B37" s="125"/>
      <c r="C37" s="213"/>
      <c r="D37" s="213"/>
      <c r="E37" s="82"/>
      <c r="F37" s="82"/>
      <c r="G37" s="83"/>
      <c r="H37" s="84"/>
      <c r="I37" s="84"/>
      <c r="J37" s="85"/>
      <c r="K37" s="82"/>
      <c r="M37" s="1"/>
      <c r="N37" s="1"/>
      <c r="O37" s="1"/>
      <c r="P37" s="1"/>
      <c r="Q37" s="1"/>
      <c r="S37" s="63">
        <v>476</v>
      </c>
    </row>
    <row r="38" spans="2:19">
      <c r="B38" s="125"/>
      <c r="C38" s="213"/>
      <c r="D38" s="213"/>
      <c r="E38" s="82"/>
      <c r="F38" s="82"/>
      <c r="G38" s="83"/>
      <c r="H38" s="84"/>
      <c r="I38" s="84"/>
      <c r="J38" s="85"/>
      <c r="K38" s="82"/>
      <c r="M38" s="1"/>
      <c r="N38" s="1"/>
      <c r="O38" s="1"/>
      <c r="P38" s="1"/>
      <c r="Q38" s="1"/>
      <c r="S38" s="63">
        <v>477</v>
      </c>
    </row>
    <row r="39" spans="2:19">
      <c r="B39" s="125"/>
      <c r="C39" s="213"/>
      <c r="D39" s="213"/>
      <c r="E39" s="82"/>
      <c r="F39" s="82"/>
      <c r="G39" s="83"/>
      <c r="H39" s="84"/>
      <c r="I39" s="84"/>
      <c r="J39" s="85"/>
      <c r="K39" s="82"/>
      <c r="M39" s="1"/>
      <c r="N39" s="1"/>
      <c r="O39" s="1"/>
      <c r="P39" s="1"/>
      <c r="Q39" s="1"/>
      <c r="S39" s="63">
        <v>478</v>
      </c>
    </row>
    <row r="40" spans="2:19">
      <c r="B40" s="125"/>
      <c r="C40" s="213"/>
      <c r="D40" s="213"/>
      <c r="E40" s="82"/>
      <c r="F40" s="82"/>
      <c r="G40" s="83"/>
      <c r="H40" s="84"/>
      <c r="I40" s="84"/>
      <c r="J40" s="85"/>
      <c r="K40" s="82"/>
      <c r="M40" s="1"/>
      <c r="N40" s="1"/>
      <c r="O40" s="1"/>
      <c r="P40" s="1"/>
      <c r="Q40" s="1"/>
      <c r="S40" s="63">
        <v>479</v>
      </c>
    </row>
    <row r="41" spans="2:19">
      <c r="B41" s="125"/>
      <c r="C41" s="213"/>
      <c r="D41" s="213"/>
      <c r="E41" s="82"/>
      <c r="F41" s="82"/>
      <c r="G41" s="83"/>
      <c r="H41" s="84"/>
      <c r="I41" s="84"/>
      <c r="J41" s="85"/>
      <c r="K41" s="82"/>
      <c r="M41" s="1"/>
      <c r="N41" s="1"/>
      <c r="O41" s="1"/>
      <c r="P41" s="1"/>
      <c r="Q41" s="1"/>
      <c r="S41" s="63">
        <v>480</v>
      </c>
    </row>
    <row r="42" spans="2:19">
      <c r="B42" s="125"/>
      <c r="C42" s="213"/>
      <c r="D42" s="213"/>
      <c r="E42" s="82"/>
      <c r="F42" s="82"/>
      <c r="G42" s="83"/>
      <c r="H42" s="84"/>
      <c r="I42" s="84"/>
      <c r="J42" s="85"/>
      <c r="K42" s="82"/>
      <c r="M42" s="1"/>
      <c r="N42" s="1"/>
      <c r="O42" s="1"/>
      <c r="P42" s="1"/>
      <c r="Q42" s="1"/>
      <c r="S42" s="63">
        <v>481</v>
      </c>
    </row>
    <row r="43" spans="2:19">
      <c r="B43" s="125"/>
      <c r="C43" s="213"/>
      <c r="D43" s="213"/>
      <c r="E43" s="82"/>
      <c r="F43" s="82"/>
      <c r="G43" s="83"/>
      <c r="H43" s="84"/>
      <c r="I43" s="84"/>
      <c r="J43" s="85"/>
      <c r="K43" s="82"/>
      <c r="M43" s="1"/>
      <c r="N43" s="1"/>
      <c r="O43" s="1"/>
      <c r="P43" s="1"/>
      <c r="Q43" s="1"/>
      <c r="S43" s="63">
        <v>482</v>
      </c>
    </row>
    <row r="44" spans="2:19">
      <c r="B44" s="125"/>
      <c r="C44" s="213"/>
      <c r="D44" s="213"/>
      <c r="E44" s="82"/>
      <c r="F44" s="82"/>
      <c r="G44" s="83"/>
      <c r="H44" s="84"/>
      <c r="I44" s="84"/>
      <c r="J44" s="85"/>
      <c r="K44" s="82"/>
      <c r="M44" s="1"/>
      <c r="N44" s="1"/>
      <c r="O44" s="1"/>
      <c r="P44" s="1"/>
      <c r="Q44" s="1"/>
      <c r="S44" s="63">
        <v>483</v>
      </c>
    </row>
    <row r="45" spans="2:19">
      <c r="B45" s="125"/>
      <c r="C45" s="213"/>
      <c r="D45" s="213"/>
      <c r="E45" s="82"/>
      <c r="F45" s="82"/>
      <c r="G45" s="83"/>
      <c r="H45" s="84"/>
      <c r="I45" s="84"/>
      <c r="J45" s="85"/>
      <c r="K45" s="82"/>
      <c r="M45" s="1"/>
      <c r="N45" s="1"/>
      <c r="O45" s="1"/>
      <c r="P45" s="1"/>
      <c r="Q45" s="1"/>
      <c r="S45" s="63">
        <v>484</v>
      </c>
    </row>
    <row r="46" spans="2:19">
      <c r="B46" s="125"/>
      <c r="C46" s="213"/>
      <c r="D46" s="213"/>
      <c r="E46" s="82"/>
      <c r="F46" s="82"/>
      <c r="G46" s="83"/>
      <c r="H46" s="84"/>
      <c r="I46" s="84"/>
      <c r="J46" s="85"/>
      <c r="K46" s="82"/>
      <c r="M46" s="1"/>
      <c r="N46" s="1"/>
      <c r="O46" s="1"/>
      <c r="P46" s="1"/>
      <c r="Q46" s="1"/>
      <c r="S46" s="63">
        <v>485</v>
      </c>
    </row>
    <row r="47" spans="2:19">
      <c r="B47" s="125"/>
      <c r="C47" s="213"/>
      <c r="D47" s="213"/>
      <c r="E47" s="82"/>
      <c r="F47" s="82"/>
      <c r="G47" s="83"/>
      <c r="H47" s="84"/>
      <c r="I47" s="84"/>
      <c r="J47" s="85"/>
      <c r="K47" s="82"/>
      <c r="M47" s="1"/>
      <c r="N47" s="1"/>
      <c r="O47" s="1"/>
      <c r="P47" s="1"/>
      <c r="Q47" s="1"/>
      <c r="S47" s="63">
        <v>486</v>
      </c>
    </row>
    <row r="48" spans="2:19">
      <c r="B48" s="125"/>
      <c r="C48" s="213"/>
      <c r="D48" s="213"/>
      <c r="E48" s="82"/>
      <c r="F48" s="82"/>
      <c r="G48" s="83"/>
      <c r="H48" s="84"/>
      <c r="I48" s="84"/>
      <c r="J48" s="85"/>
      <c r="K48" s="82"/>
      <c r="M48" s="1"/>
      <c r="N48" s="1"/>
      <c r="O48" s="1"/>
      <c r="P48" s="1"/>
      <c r="Q48" s="1"/>
      <c r="S48" s="63">
        <v>487</v>
      </c>
    </row>
    <row r="49" spans="2:19">
      <c r="B49" s="125"/>
      <c r="C49" s="213"/>
      <c r="D49" s="213"/>
      <c r="E49" s="82"/>
      <c r="F49" s="82"/>
      <c r="G49" s="83"/>
      <c r="H49" s="84"/>
      <c r="I49" s="84"/>
      <c r="J49" s="85"/>
      <c r="K49" s="82"/>
      <c r="M49" s="1"/>
      <c r="N49" s="1"/>
      <c r="O49" s="1"/>
      <c r="P49" s="1"/>
      <c r="Q49" s="1"/>
      <c r="S49" s="63">
        <v>488</v>
      </c>
    </row>
    <row r="50" spans="2:19">
      <c r="B50" s="125"/>
      <c r="C50" s="213"/>
      <c r="D50" s="213"/>
      <c r="E50" s="82"/>
      <c r="F50" s="82"/>
      <c r="G50" s="83"/>
      <c r="H50" s="84"/>
      <c r="I50" s="84"/>
      <c r="J50" s="85"/>
      <c r="K50" s="82"/>
      <c r="M50" s="1"/>
      <c r="N50" s="1"/>
      <c r="O50" s="1"/>
      <c r="P50" s="1"/>
      <c r="Q50" s="1"/>
      <c r="S50" s="63">
        <v>489</v>
      </c>
    </row>
    <row r="51" spans="2:19">
      <c r="B51" s="125"/>
      <c r="C51" s="213"/>
      <c r="D51" s="213"/>
      <c r="E51" s="82"/>
      <c r="F51" s="82"/>
      <c r="G51" s="83"/>
      <c r="H51" s="84"/>
      <c r="I51" s="84"/>
      <c r="J51" s="85"/>
      <c r="K51" s="82"/>
      <c r="M51" s="1"/>
      <c r="N51" s="1"/>
      <c r="O51" s="1"/>
      <c r="P51" s="1"/>
      <c r="Q51" s="1"/>
      <c r="S51" s="63">
        <v>490</v>
      </c>
    </row>
    <row r="52" spans="2:19">
      <c r="B52" s="125"/>
      <c r="C52" s="213"/>
      <c r="D52" s="213"/>
      <c r="E52" s="82"/>
      <c r="F52" s="82"/>
      <c r="G52" s="83"/>
      <c r="H52" s="84"/>
      <c r="I52" s="84"/>
      <c r="J52" s="85"/>
      <c r="K52" s="82"/>
      <c r="M52" s="1"/>
      <c r="N52" s="1"/>
      <c r="O52" s="1"/>
      <c r="P52" s="1"/>
      <c r="Q52" s="1"/>
      <c r="S52" s="63">
        <v>491</v>
      </c>
    </row>
    <row r="53" spans="2:19">
      <c r="B53" s="125"/>
      <c r="C53" s="213"/>
      <c r="D53" s="213"/>
      <c r="E53" s="82"/>
      <c r="F53" s="82"/>
      <c r="G53" s="83"/>
      <c r="H53" s="84"/>
      <c r="I53" s="84"/>
      <c r="J53" s="85"/>
      <c r="K53" s="82"/>
      <c r="M53" s="1"/>
      <c r="N53" s="1"/>
      <c r="O53" s="1"/>
      <c r="P53" s="1"/>
      <c r="Q53" s="1"/>
      <c r="S53" s="63">
        <v>492</v>
      </c>
    </row>
    <row r="54" spans="2:19">
      <c r="B54" s="125"/>
      <c r="C54" s="213"/>
      <c r="D54" s="213"/>
      <c r="E54" s="82"/>
      <c r="F54" s="82"/>
      <c r="G54" s="83"/>
      <c r="H54" s="84"/>
      <c r="I54" s="84"/>
      <c r="J54" s="85"/>
      <c r="K54" s="82"/>
      <c r="M54" s="1"/>
      <c r="N54" s="1"/>
      <c r="O54" s="1"/>
      <c r="P54" s="1"/>
      <c r="Q54" s="1"/>
      <c r="S54" s="63">
        <v>493</v>
      </c>
    </row>
    <row r="55" spans="2:19">
      <c r="B55" s="125"/>
      <c r="C55" s="213"/>
      <c r="D55" s="213"/>
      <c r="E55" s="82"/>
      <c r="F55" s="82"/>
      <c r="G55" s="83"/>
      <c r="H55" s="84"/>
      <c r="I55" s="84"/>
      <c r="J55" s="85"/>
      <c r="K55" s="82"/>
      <c r="M55" s="1"/>
      <c r="N55" s="1"/>
      <c r="O55" s="1"/>
      <c r="P55" s="1"/>
      <c r="Q55" s="1"/>
      <c r="S55" s="63">
        <v>494</v>
      </c>
    </row>
    <row r="56" spans="2:19">
      <c r="B56" s="125"/>
      <c r="C56" s="213"/>
      <c r="D56" s="213"/>
      <c r="E56" s="82"/>
      <c r="F56" s="82"/>
      <c r="G56" s="83"/>
      <c r="H56" s="84"/>
      <c r="I56" s="84"/>
      <c r="J56" s="85"/>
      <c r="K56" s="82"/>
      <c r="M56" s="1"/>
      <c r="N56" s="1"/>
      <c r="O56" s="1"/>
      <c r="P56" s="1"/>
      <c r="Q56" s="1"/>
      <c r="S56" s="63">
        <v>495</v>
      </c>
    </row>
    <row r="57" spans="2:19">
      <c r="B57" s="125"/>
      <c r="C57" s="213"/>
      <c r="D57" s="213"/>
      <c r="E57" s="82"/>
      <c r="F57" s="82"/>
      <c r="G57" s="83"/>
      <c r="H57" s="84"/>
      <c r="I57" s="84"/>
      <c r="J57" s="85"/>
      <c r="K57" s="82"/>
      <c r="M57" s="1"/>
      <c r="N57" s="1"/>
      <c r="O57" s="1"/>
      <c r="P57" s="1"/>
      <c r="Q57" s="1"/>
      <c r="S57" s="63">
        <v>496</v>
      </c>
    </row>
    <row r="58" spans="2:19">
      <c r="B58" s="125"/>
      <c r="C58" s="213"/>
      <c r="D58" s="213"/>
      <c r="E58" s="82"/>
      <c r="F58" s="82"/>
      <c r="G58" s="83"/>
      <c r="H58" s="84"/>
      <c r="I58" s="84"/>
      <c r="J58" s="85"/>
      <c r="K58" s="82"/>
      <c r="M58" s="1"/>
      <c r="N58" s="1"/>
      <c r="O58" s="1"/>
      <c r="P58" s="1"/>
      <c r="Q58" s="1"/>
      <c r="S58" s="63">
        <v>497</v>
      </c>
    </row>
    <row r="59" spans="2:19">
      <c r="B59" s="125"/>
      <c r="C59" s="213"/>
      <c r="D59" s="213"/>
      <c r="E59" s="82"/>
      <c r="F59" s="82"/>
      <c r="G59" s="83"/>
      <c r="H59" s="84"/>
      <c r="I59" s="84"/>
      <c r="J59" s="85"/>
      <c r="K59" s="82"/>
      <c r="M59" s="1"/>
      <c r="N59" s="1"/>
      <c r="O59" s="1"/>
      <c r="P59" s="1"/>
      <c r="Q59" s="1"/>
      <c r="S59" s="63">
        <v>498</v>
      </c>
    </row>
    <row r="60" spans="2:19">
      <c r="B60" s="125"/>
      <c r="C60" s="213"/>
      <c r="D60" s="213"/>
      <c r="E60" s="82"/>
      <c r="F60" s="82"/>
      <c r="G60" s="83"/>
      <c r="H60" s="84"/>
      <c r="I60" s="84"/>
      <c r="J60" s="85"/>
      <c r="K60" s="82"/>
      <c r="M60" s="1"/>
      <c r="N60" s="1"/>
      <c r="O60" s="1"/>
      <c r="P60" s="1"/>
      <c r="Q60" s="1"/>
      <c r="S60" s="63">
        <v>499</v>
      </c>
    </row>
    <row r="61" spans="2:19">
      <c r="B61" s="125"/>
      <c r="C61" s="213"/>
      <c r="D61" s="213"/>
      <c r="E61" s="82"/>
      <c r="F61" s="82"/>
      <c r="G61" s="83"/>
      <c r="H61" s="84"/>
      <c r="I61" s="84"/>
      <c r="J61" s="85"/>
      <c r="K61" s="82"/>
      <c r="M61" s="1"/>
      <c r="N61" s="1"/>
      <c r="O61" s="1"/>
      <c r="P61" s="1"/>
      <c r="Q61" s="1"/>
      <c r="S61" s="63">
        <v>500</v>
      </c>
    </row>
    <row r="62" spans="2:19">
      <c r="B62" s="125"/>
      <c r="C62" s="213"/>
      <c r="D62" s="213"/>
      <c r="E62" s="82"/>
      <c r="F62" s="82"/>
      <c r="G62" s="83"/>
      <c r="H62" s="84"/>
      <c r="I62" s="84"/>
      <c r="J62" s="85"/>
      <c r="K62" s="82"/>
      <c r="M62" s="1"/>
      <c r="N62" s="1"/>
      <c r="O62" s="1"/>
      <c r="P62" s="1"/>
      <c r="Q62" s="1"/>
      <c r="S62" s="63">
        <v>501</v>
      </c>
    </row>
    <row r="63" spans="2:19">
      <c r="B63" s="125"/>
      <c r="C63" s="213"/>
      <c r="D63" s="213"/>
      <c r="E63" s="82"/>
      <c r="F63" s="82"/>
      <c r="G63" s="83"/>
      <c r="H63" s="84"/>
      <c r="I63" s="84"/>
      <c r="J63" s="85"/>
      <c r="K63" s="82"/>
      <c r="M63" s="1"/>
      <c r="N63" s="1"/>
      <c r="O63" s="1"/>
      <c r="P63" s="1"/>
      <c r="Q63" s="1"/>
      <c r="S63" s="63">
        <v>502</v>
      </c>
    </row>
    <row r="64" spans="2:19">
      <c r="B64" s="125"/>
      <c r="C64" s="213"/>
      <c r="D64" s="213"/>
      <c r="E64" s="82"/>
      <c r="F64" s="82"/>
      <c r="G64" s="83"/>
      <c r="H64" s="84"/>
      <c r="I64" s="84"/>
      <c r="J64" s="85"/>
      <c r="K64" s="82"/>
      <c r="M64" s="1"/>
      <c r="N64" s="1"/>
      <c r="O64" s="1"/>
      <c r="P64" s="1"/>
      <c r="Q64" s="1"/>
      <c r="S64" s="63">
        <v>503</v>
      </c>
    </row>
    <row r="65" spans="2:19">
      <c r="B65" s="125"/>
      <c r="C65" s="213"/>
      <c r="D65" s="213"/>
      <c r="E65" s="82"/>
      <c r="F65" s="82"/>
      <c r="G65" s="83"/>
      <c r="H65" s="84"/>
      <c r="I65" s="84"/>
      <c r="J65" s="85"/>
      <c r="K65" s="82"/>
      <c r="M65" s="1"/>
      <c r="N65" s="1"/>
      <c r="O65" s="1"/>
      <c r="P65" s="1"/>
      <c r="Q65" s="1"/>
      <c r="S65" s="63">
        <v>504</v>
      </c>
    </row>
    <row r="66" spans="2:19">
      <c r="B66" s="125"/>
      <c r="C66" s="213"/>
      <c r="D66" s="213"/>
      <c r="E66" s="82"/>
      <c r="F66" s="82"/>
      <c r="G66" s="83"/>
      <c r="H66" s="84"/>
      <c r="I66" s="84"/>
      <c r="J66" s="85"/>
      <c r="K66" s="82"/>
      <c r="M66" s="1"/>
      <c r="N66" s="1"/>
      <c r="O66" s="1"/>
      <c r="P66" s="1"/>
      <c r="Q66" s="1"/>
      <c r="S66" s="63">
        <v>505</v>
      </c>
    </row>
    <row r="67" spans="2:19">
      <c r="B67" s="125"/>
      <c r="C67" s="213"/>
      <c r="D67" s="213"/>
      <c r="E67" s="82"/>
      <c r="F67" s="82"/>
      <c r="G67" s="83"/>
      <c r="H67" s="84"/>
      <c r="I67" s="84"/>
      <c r="J67" s="85"/>
      <c r="K67" s="82"/>
      <c r="M67" s="1"/>
      <c r="N67" s="1"/>
      <c r="O67" s="1"/>
      <c r="P67" s="1"/>
      <c r="Q67" s="1"/>
      <c r="S67" s="63">
        <v>506</v>
      </c>
    </row>
    <row r="68" spans="2:19">
      <c r="B68" s="125"/>
      <c r="C68" s="213"/>
      <c r="D68" s="213"/>
      <c r="E68" s="82"/>
      <c r="F68" s="82"/>
      <c r="G68" s="83"/>
      <c r="H68" s="84"/>
      <c r="I68" s="84"/>
      <c r="J68" s="85"/>
      <c r="K68" s="82"/>
      <c r="M68" s="1"/>
      <c r="N68" s="1"/>
      <c r="O68" s="1"/>
      <c r="P68" s="1"/>
      <c r="Q68" s="1"/>
      <c r="S68" s="63">
        <v>507</v>
      </c>
    </row>
    <row r="69" spans="2:19">
      <c r="B69" s="125"/>
      <c r="C69" s="213"/>
      <c r="D69" s="213"/>
      <c r="E69" s="82"/>
      <c r="F69" s="82"/>
      <c r="G69" s="83"/>
      <c r="H69" s="84"/>
      <c r="I69" s="84"/>
      <c r="J69" s="85"/>
      <c r="K69" s="82"/>
      <c r="M69" s="1"/>
      <c r="N69" s="1"/>
      <c r="O69" s="1"/>
      <c r="P69" s="1"/>
      <c r="Q69" s="1"/>
      <c r="S69" s="63">
        <v>508</v>
      </c>
    </row>
    <row r="70" spans="2:19">
      <c r="B70" s="125"/>
      <c r="C70" s="213"/>
      <c r="D70" s="213"/>
      <c r="E70" s="82"/>
      <c r="F70" s="82"/>
      <c r="G70" s="83"/>
      <c r="H70" s="84"/>
      <c r="I70" s="84"/>
      <c r="J70" s="85"/>
      <c r="K70" s="82"/>
      <c r="M70" s="1"/>
      <c r="N70" s="1"/>
      <c r="O70" s="1"/>
      <c r="P70" s="1"/>
      <c r="Q70" s="1"/>
      <c r="S70" s="63">
        <v>509</v>
      </c>
    </row>
    <row r="71" spans="2:19">
      <c r="B71" s="125"/>
      <c r="C71" s="213"/>
      <c r="D71" s="213"/>
      <c r="E71" s="82"/>
      <c r="F71" s="82"/>
      <c r="G71" s="83"/>
      <c r="H71" s="84"/>
      <c r="I71" s="84"/>
      <c r="J71" s="85"/>
      <c r="K71" s="82"/>
      <c r="M71" s="1"/>
      <c r="N71" s="1"/>
      <c r="O71" s="1"/>
      <c r="P71" s="1"/>
      <c r="Q71" s="1"/>
      <c r="S71" s="63">
        <v>510</v>
      </c>
    </row>
    <row r="72" spans="2:19">
      <c r="B72" s="125"/>
      <c r="C72" s="213"/>
      <c r="D72" s="213"/>
      <c r="E72" s="82"/>
      <c r="F72" s="82"/>
      <c r="G72" s="83"/>
      <c r="H72" s="84"/>
      <c r="I72" s="84"/>
      <c r="J72" s="85"/>
      <c r="K72" s="82"/>
      <c r="M72" s="1"/>
      <c r="N72" s="1"/>
      <c r="O72" s="1"/>
      <c r="P72" s="1"/>
      <c r="Q72" s="1"/>
      <c r="S72" s="63">
        <v>511</v>
      </c>
    </row>
    <row r="73" spans="2:19">
      <c r="B73" s="125"/>
      <c r="C73" s="213"/>
      <c r="D73" s="213"/>
      <c r="E73" s="82"/>
      <c r="F73" s="82"/>
      <c r="G73" s="83"/>
      <c r="H73" s="84"/>
      <c r="I73" s="84"/>
      <c r="J73" s="85"/>
      <c r="K73" s="82"/>
      <c r="M73" s="1"/>
      <c r="N73" s="1"/>
      <c r="O73" s="1"/>
      <c r="P73" s="1"/>
      <c r="Q73" s="1"/>
      <c r="S73" s="63">
        <v>512</v>
      </c>
    </row>
    <row r="74" spans="2:19">
      <c r="B74" s="125"/>
      <c r="C74" s="213"/>
      <c r="D74" s="213"/>
      <c r="E74" s="82"/>
      <c r="F74" s="82"/>
      <c r="G74" s="83"/>
      <c r="H74" s="84"/>
      <c r="I74" s="84"/>
      <c r="J74" s="85"/>
      <c r="K74" s="82"/>
      <c r="M74" s="1"/>
      <c r="N74" s="1"/>
      <c r="O74" s="1"/>
      <c r="P74" s="1"/>
      <c r="Q74" s="1"/>
      <c r="S74" s="63">
        <v>513</v>
      </c>
    </row>
    <row r="75" spans="2:19">
      <c r="B75" s="125"/>
      <c r="C75" s="213"/>
      <c r="D75" s="213"/>
      <c r="E75" s="82"/>
      <c r="F75" s="82"/>
      <c r="G75" s="83"/>
      <c r="H75" s="84"/>
      <c r="I75" s="84"/>
      <c r="J75" s="85"/>
      <c r="K75" s="82"/>
      <c r="M75" s="1"/>
      <c r="N75" s="1"/>
      <c r="O75" s="1"/>
      <c r="P75" s="1"/>
      <c r="Q75" s="1"/>
      <c r="S75" s="63">
        <v>514</v>
      </c>
    </row>
    <row r="76" spans="2:19">
      <c r="B76" s="125"/>
      <c r="C76" s="213"/>
      <c r="D76" s="213"/>
      <c r="E76" s="82"/>
      <c r="F76" s="82"/>
      <c r="G76" s="83"/>
      <c r="H76" s="84"/>
      <c r="I76" s="84"/>
      <c r="J76" s="85"/>
      <c r="K76" s="82"/>
      <c r="M76" s="1"/>
      <c r="N76" s="1"/>
      <c r="O76" s="1"/>
      <c r="P76" s="1"/>
      <c r="Q76" s="1"/>
      <c r="S76" s="63">
        <v>515</v>
      </c>
    </row>
    <row r="77" spans="2:19">
      <c r="B77" s="125"/>
      <c r="C77" s="213"/>
      <c r="D77" s="213"/>
      <c r="E77" s="82"/>
      <c r="F77" s="82"/>
      <c r="G77" s="83"/>
      <c r="H77" s="84"/>
      <c r="I77" s="84"/>
      <c r="J77" s="85"/>
      <c r="K77" s="82"/>
      <c r="M77" s="1"/>
      <c r="N77" s="1"/>
      <c r="O77" s="1"/>
      <c r="P77" s="1"/>
      <c r="Q77" s="1"/>
      <c r="S77" s="63">
        <v>516</v>
      </c>
    </row>
    <row r="78" spans="2:19">
      <c r="B78" s="125"/>
      <c r="C78" s="213"/>
      <c r="D78" s="213"/>
      <c r="E78" s="82"/>
      <c r="F78" s="82"/>
      <c r="G78" s="83"/>
      <c r="H78" s="84"/>
      <c r="I78" s="84"/>
      <c r="J78" s="85"/>
      <c r="K78" s="82"/>
      <c r="M78" s="1"/>
      <c r="N78" s="1"/>
      <c r="O78" s="1"/>
      <c r="P78" s="1"/>
      <c r="Q78" s="1"/>
      <c r="S78" s="63">
        <v>517</v>
      </c>
    </row>
    <row r="79" spans="2:19">
      <c r="B79" s="125"/>
      <c r="C79" s="213"/>
      <c r="D79" s="213"/>
      <c r="E79" s="82"/>
      <c r="F79" s="82"/>
      <c r="G79" s="83"/>
      <c r="H79" s="84"/>
      <c r="I79" s="84"/>
      <c r="J79" s="85"/>
      <c r="K79" s="82"/>
      <c r="M79" s="1"/>
      <c r="N79" s="1"/>
      <c r="O79" s="1"/>
      <c r="P79" s="1"/>
      <c r="Q79" s="1"/>
      <c r="S79" s="63">
        <v>518</v>
      </c>
    </row>
    <row r="80" spans="2:19">
      <c r="B80" s="125"/>
      <c r="C80" s="213"/>
      <c r="D80" s="213"/>
      <c r="E80" s="82"/>
      <c r="F80" s="82"/>
      <c r="G80" s="83"/>
      <c r="H80" s="84"/>
      <c r="I80" s="84"/>
      <c r="J80" s="85"/>
      <c r="K80" s="82"/>
      <c r="M80" s="1"/>
      <c r="N80" s="1"/>
      <c r="O80" s="1"/>
      <c r="P80" s="1"/>
      <c r="Q80" s="1"/>
      <c r="S80" s="63">
        <v>519</v>
      </c>
    </row>
    <row r="81" spans="2:19">
      <c r="B81" s="125"/>
      <c r="C81" s="213"/>
      <c r="D81" s="213"/>
      <c r="E81" s="82"/>
      <c r="F81" s="82"/>
      <c r="G81" s="83"/>
      <c r="H81" s="84"/>
      <c r="I81" s="84"/>
      <c r="J81" s="85"/>
      <c r="K81" s="82"/>
      <c r="M81" s="1"/>
      <c r="N81" s="1"/>
      <c r="O81" s="1"/>
      <c r="P81" s="1"/>
      <c r="Q81" s="1"/>
      <c r="S81" s="63">
        <v>520</v>
      </c>
    </row>
    <row r="82" spans="2:19">
      <c r="B82" s="125"/>
      <c r="C82" s="213"/>
      <c r="D82" s="213"/>
      <c r="E82" s="82"/>
      <c r="F82" s="82"/>
      <c r="G82" s="83"/>
      <c r="H82" s="84"/>
      <c r="I82" s="84"/>
      <c r="J82" s="85"/>
      <c r="K82" s="82"/>
      <c r="M82" s="1"/>
      <c r="N82" s="1"/>
      <c r="O82" s="1"/>
      <c r="P82" s="1"/>
      <c r="Q82" s="1"/>
      <c r="S82" s="63">
        <v>521</v>
      </c>
    </row>
    <row r="83" spans="2:19">
      <c r="B83" s="125"/>
      <c r="C83" s="213"/>
      <c r="D83" s="213"/>
      <c r="E83" s="82"/>
      <c r="F83" s="82"/>
      <c r="G83" s="83"/>
      <c r="H83" s="84"/>
      <c r="I83" s="84"/>
      <c r="J83" s="85"/>
      <c r="K83" s="82"/>
      <c r="M83" s="1"/>
      <c r="N83" s="1"/>
      <c r="O83" s="1"/>
      <c r="P83" s="1"/>
      <c r="Q83" s="1"/>
      <c r="S83" s="63">
        <v>522</v>
      </c>
    </row>
    <row r="84" spans="2:19">
      <c r="B84" s="125"/>
      <c r="C84" s="213"/>
      <c r="D84" s="213"/>
      <c r="E84" s="82"/>
      <c r="F84" s="82"/>
      <c r="G84" s="83"/>
      <c r="H84" s="84"/>
      <c r="I84" s="84"/>
      <c r="J84" s="85"/>
      <c r="K84" s="82"/>
      <c r="M84" s="1"/>
      <c r="N84" s="1"/>
      <c r="O84" s="1"/>
      <c r="P84" s="1"/>
      <c r="Q84" s="1"/>
      <c r="S84" s="63">
        <v>523</v>
      </c>
    </row>
    <row r="85" spans="2:19">
      <c r="B85" s="125"/>
      <c r="C85" s="213"/>
      <c r="D85" s="213"/>
      <c r="E85" s="82"/>
      <c r="F85" s="82"/>
      <c r="G85" s="83"/>
      <c r="H85" s="84"/>
      <c r="I85" s="84"/>
      <c r="J85" s="85"/>
      <c r="K85" s="82"/>
      <c r="M85" s="1"/>
      <c r="N85" s="1"/>
      <c r="O85" s="1"/>
      <c r="P85" s="1"/>
      <c r="Q85" s="1"/>
      <c r="S85" s="63">
        <v>524</v>
      </c>
    </row>
    <row r="86" spans="2:19">
      <c r="B86" s="125"/>
      <c r="C86" s="213"/>
      <c r="D86" s="213"/>
      <c r="E86" s="82"/>
      <c r="F86" s="82"/>
      <c r="G86" s="83"/>
      <c r="H86" s="84"/>
      <c r="I86" s="84"/>
      <c r="J86" s="85"/>
      <c r="K86" s="82"/>
      <c r="M86" s="1"/>
      <c r="N86" s="1"/>
      <c r="O86" s="1"/>
      <c r="P86" s="1"/>
      <c r="Q86" s="1"/>
      <c r="S86" s="63">
        <v>525</v>
      </c>
    </row>
    <row r="87" spans="2:19">
      <c r="B87" s="125"/>
      <c r="C87" s="213"/>
      <c r="D87" s="213"/>
      <c r="E87" s="82"/>
      <c r="F87" s="82"/>
      <c r="G87" s="83"/>
      <c r="H87" s="84"/>
      <c r="I87" s="84"/>
      <c r="J87" s="85"/>
      <c r="K87" s="82"/>
      <c r="M87" s="1"/>
      <c r="N87" s="1"/>
      <c r="O87" s="1"/>
      <c r="P87" s="1"/>
      <c r="Q87" s="1"/>
      <c r="S87" s="63">
        <v>526</v>
      </c>
    </row>
    <row r="88" spans="2:19">
      <c r="B88" s="125"/>
      <c r="C88" s="213"/>
      <c r="D88" s="213"/>
      <c r="E88" s="82"/>
      <c r="F88" s="82"/>
      <c r="G88" s="83"/>
      <c r="H88" s="84"/>
      <c r="I88" s="84"/>
      <c r="J88" s="85"/>
      <c r="K88" s="82"/>
      <c r="M88" s="1"/>
      <c r="N88" s="1"/>
      <c r="O88" s="1"/>
      <c r="P88" s="1"/>
      <c r="Q88" s="1"/>
      <c r="S88" s="63">
        <v>527</v>
      </c>
    </row>
    <row r="89" spans="2:19">
      <c r="B89" s="125"/>
      <c r="C89" s="213"/>
      <c r="D89" s="213"/>
      <c r="E89" s="82"/>
      <c r="F89" s="82"/>
      <c r="G89" s="83"/>
      <c r="H89" s="84"/>
      <c r="I89" s="84"/>
      <c r="J89" s="85"/>
      <c r="K89" s="82"/>
      <c r="M89" s="1"/>
      <c r="N89" s="1"/>
      <c r="O89" s="1"/>
      <c r="P89" s="1"/>
      <c r="Q89" s="1"/>
      <c r="S89" s="63">
        <v>528</v>
      </c>
    </row>
    <row r="90" spans="2:19">
      <c r="B90" s="125"/>
      <c r="C90" s="213"/>
      <c r="D90" s="213"/>
      <c r="E90" s="82"/>
      <c r="F90" s="82"/>
      <c r="G90" s="83"/>
      <c r="H90" s="84"/>
      <c r="I90" s="84"/>
      <c r="J90" s="85"/>
      <c r="K90" s="82"/>
      <c r="M90" s="1"/>
      <c r="N90" s="1"/>
      <c r="O90" s="1"/>
      <c r="P90" s="1"/>
      <c r="Q90" s="1"/>
      <c r="S90" s="63">
        <v>529</v>
      </c>
    </row>
    <row r="91" spans="2:19">
      <c r="B91" s="125"/>
      <c r="C91" s="213"/>
      <c r="D91" s="213"/>
      <c r="E91" s="82"/>
      <c r="F91" s="82"/>
      <c r="G91" s="83"/>
      <c r="H91" s="84"/>
      <c r="I91" s="84"/>
      <c r="J91" s="85"/>
      <c r="K91" s="82"/>
      <c r="M91" s="1"/>
      <c r="N91" s="1"/>
      <c r="O91" s="1"/>
      <c r="P91" s="1"/>
      <c r="Q91" s="1"/>
      <c r="S91" s="63">
        <v>530</v>
      </c>
    </row>
    <row r="92" spans="2:19">
      <c r="B92" s="125"/>
      <c r="C92" s="213"/>
      <c r="D92" s="213"/>
      <c r="E92" s="82"/>
      <c r="F92" s="82"/>
      <c r="G92" s="83"/>
      <c r="H92" s="84"/>
      <c r="I92" s="84"/>
      <c r="J92" s="85"/>
      <c r="K92" s="82"/>
      <c r="M92" s="1"/>
      <c r="N92" s="1"/>
      <c r="O92" s="1"/>
      <c r="P92" s="1"/>
      <c r="Q92" s="1"/>
      <c r="S92" s="63">
        <v>531</v>
      </c>
    </row>
    <row r="93" spans="2:19">
      <c r="B93" s="125"/>
      <c r="C93" s="213"/>
      <c r="D93" s="213"/>
      <c r="E93" s="82"/>
      <c r="F93" s="82"/>
      <c r="G93" s="83"/>
      <c r="H93" s="84"/>
      <c r="I93" s="84"/>
      <c r="J93" s="85"/>
      <c r="K93" s="82"/>
      <c r="M93" s="1"/>
      <c r="N93" s="1"/>
      <c r="O93" s="1"/>
      <c r="P93" s="1"/>
      <c r="Q93" s="1"/>
      <c r="S93" s="63">
        <v>532</v>
      </c>
    </row>
    <row r="94" spans="2:19">
      <c r="B94" s="125"/>
      <c r="C94" s="213"/>
      <c r="D94" s="213"/>
      <c r="E94" s="82"/>
      <c r="F94" s="82"/>
      <c r="G94" s="83"/>
      <c r="H94" s="84"/>
      <c r="I94" s="84"/>
      <c r="J94" s="85"/>
      <c r="K94" s="82"/>
      <c r="M94" s="1"/>
      <c r="N94" s="1"/>
      <c r="O94" s="1"/>
      <c r="P94" s="1"/>
      <c r="Q94" s="1"/>
      <c r="S94" s="63">
        <v>533</v>
      </c>
    </row>
    <row r="95" spans="2:19">
      <c r="B95" s="125"/>
      <c r="C95" s="213"/>
      <c r="D95" s="213"/>
      <c r="E95" s="82"/>
      <c r="F95" s="82"/>
      <c r="G95" s="83"/>
      <c r="H95" s="84"/>
      <c r="I95" s="84"/>
      <c r="J95" s="85"/>
      <c r="K95" s="82"/>
      <c r="M95" s="1"/>
      <c r="N95" s="1"/>
      <c r="O95" s="1"/>
      <c r="P95" s="1"/>
      <c r="Q95" s="1"/>
      <c r="S95" s="63">
        <v>534</v>
      </c>
    </row>
    <row r="96" spans="2:19">
      <c r="B96" s="125"/>
      <c r="C96" s="213"/>
      <c r="D96" s="213"/>
      <c r="E96" s="82"/>
      <c r="F96" s="82"/>
      <c r="G96" s="83"/>
      <c r="H96" s="84"/>
      <c r="I96" s="84"/>
      <c r="J96" s="85"/>
      <c r="K96" s="82"/>
      <c r="M96" s="1"/>
      <c r="N96" s="1"/>
      <c r="O96" s="1"/>
      <c r="P96" s="1"/>
      <c r="Q96" s="1"/>
      <c r="S96" s="63">
        <v>535</v>
      </c>
    </row>
    <row r="97" spans="2:19">
      <c r="B97" s="125"/>
      <c r="C97" s="213"/>
      <c r="D97" s="213"/>
      <c r="E97" s="82"/>
      <c r="F97" s="82"/>
      <c r="G97" s="83"/>
      <c r="H97" s="84"/>
      <c r="I97" s="84"/>
      <c r="J97" s="85"/>
      <c r="K97" s="82"/>
      <c r="M97" s="1"/>
      <c r="N97" s="1"/>
      <c r="O97" s="1"/>
      <c r="P97" s="1"/>
      <c r="Q97" s="1"/>
      <c r="S97" s="63">
        <v>536</v>
      </c>
    </row>
    <row r="98" spans="2:19">
      <c r="B98" s="125"/>
      <c r="C98" s="213"/>
      <c r="D98" s="213"/>
      <c r="E98" s="82"/>
      <c r="F98" s="82"/>
      <c r="G98" s="83"/>
      <c r="H98" s="84"/>
      <c r="I98" s="84"/>
      <c r="J98" s="85"/>
      <c r="K98" s="82"/>
      <c r="M98" s="1"/>
      <c r="N98" s="1"/>
      <c r="O98" s="1"/>
      <c r="P98" s="1"/>
      <c r="Q98" s="1"/>
      <c r="S98" s="63">
        <v>537</v>
      </c>
    </row>
    <row r="99" spans="2:19">
      <c r="B99" s="125"/>
      <c r="C99" s="213"/>
      <c r="D99" s="213"/>
      <c r="E99" s="82"/>
      <c r="F99" s="82"/>
      <c r="G99" s="83"/>
      <c r="H99" s="84"/>
      <c r="I99" s="84"/>
      <c r="J99" s="85"/>
      <c r="K99" s="82"/>
      <c r="M99" s="1"/>
      <c r="N99" s="1"/>
      <c r="O99" s="1"/>
      <c r="P99" s="1"/>
      <c r="Q99" s="1"/>
      <c r="S99" s="63">
        <v>538</v>
      </c>
    </row>
    <row r="100" spans="2:19">
      <c r="B100" s="125"/>
      <c r="C100" s="213"/>
      <c r="D100" s="213"/>
      <c r="E100" s="82"/>
      <c r="F100" s="82"/>
      <c r="G100" s="83"/>
      <c r="H100" s="84"/>
      <c r="I100" s="84"/>
      <c r="J100" s="85"/>
      <c r="K100" s="82"/>
      <c r="M100" s="1"/>
      <c r="N100" s="1"/>
      <c r="O100" s="1"/>
      <c r="P100" s="1"/>
      <c r="Q100" s="1"/>
      <c r="S100" s="63">
        <v>539</v>
      </c>
    </row>
    <row r="101" spans="2:19">
      <c r="B101" s="125"/>
      <c r="C101" s="213"/>
      <c r="D101" s="213"/>
      <c r="E101" s="82"/>
      <c r="F101" s="82"/>
      <c r="G101" s="83"/>
      <c r="H101" s="84"/>
      <c r="I101" s="84"/>
      <c r="J101" s="85"/>
      <c r="K101" s="82"/>
      <c r="M101" s="1"/>
      <c r="N101" s="1"/>
      <c r="O101" s="1"/>
      <c r="P101" s="1"/>
      <c r="Q101" s="1"/>
      <c r="S101" s="63">
        <v>540</v>
      </c>
    </row>
    <row r="102" spans="2:19">
      <c r="B102" s="125"/>
      <c r="C102" s="213"/>
      <c r="D102" s="213"/>
      <c r="E102" s="82"/>
      <c r="F102" s="82"/>
      <c r="G102" s="83"/>
      <c r="H102" s="84"/>
      <c r="I102" s="84"/>
      <c r="J102" s="85"/>
      <c r="K102" s="82"/>
      <c r="M102" s="1"/>
      <c r="N102" s="1"/>
      <c r="O102" s="1"/>
      <c r="P102" s="1"/>
      <c r="Q102" s="1"/>
      <c r="S102" s="63">
        <v>541</v>
      </c>
    </row>
    <row r="103" spans="2:19">
      <c r="B103" s="125"/>
      <c r="C103" s="213"/>
      <c r="D103" s="213"/>
      <c r="E103" s="82"/>
      <c r="F103" s="82"/>
      <c r="G103" s="83"/>
      <c r="H103" s="84"/>
      <c r="I103" s="84"/>
      <c r="J103" s="85"/>
      <c r="K103" s="82"/>
      <c r="M103" s="1"/>
      <c r="N103" s="1"/>
      <c r="O103" s="1"/>
      <c r="P103" s="1"/>
      <c r="Q103" s="1"/>
      <c r="S103" s="63">
        <v>542</v>
      </c>
    </row>
    <row r="104" spans="2:19">
      <c r="B104" s="125"/>
      <c r="C104" s="213"/>
      <c r="D104" s="213"/>
      <c r="E104" s="82"/>
      <c r="F104" s="82"/>
      <c r="G104" s="83"/>
      <c r="H104" s="84"/>
      <c r="I104" s="84"/>
      <c r="J104" s="85"/>
      <c r="K104" s="82"/>
      <c r="M104" s="1"/>
      <c r="N104" s="1"/>
      <c r="O104" s="1"/>
      <c r="P104" s="1"/>
      <c r="Q104" s="1"/>
      <c r="S104" s="63">
        <v>543</v>
      </c>
    </row>
    <row r="105" spans="2:19">
      <c r="B105" s="125"/>
      <c r="C105" s="213"/>
      <c r="D105" s="213"/>
      <c r="E105" s="82"/>
      <c r="F105" s="82"/>
      <c r="G105" s="83"/>
      <c r="H105" s="84"/>
      <c r="I105" s="84"/>
      <c r="J105" s="85"/>
      <c r="K105" s="82"/>
      <c r="M105" s="1"/>
      <c r="N105" s="1"/>
      <c r="O105" s="1"/>
      <c r="P105" s="1"/>
      <c r="Q105" s="1"/>
      <c r="S105" s="63">
        <v>544</v>
      </c>
    </row>
    <row r="106" spans="2:19">
      <c r="B106" s="125"/>
      <c r="C106" s="213"/>
      <c r="D106" s="213"/>
      <c r="E106" s="82"/>
      <c r="F106" s="82"/>
      <c r="G106" s="83"/>
      <c r="H106" s="84"/>
      <c r="I106" s="84"/>
      <c r="J106" s="85"/>
      <c r="K106" s="82"/>
      <c r="M106" s="1"/>
      <c r="N106" s="1"/>
      <c r="O106" s="1"/>
      <c r="P106" s="1"/>
      <c r="Q106" s="1"/>
      <c r="S106" s="63">
        <v>545</v>
      </c>
    </row>
    <row r="107" spans="2:19">
      <c r="B107" s="125"/>
      <c r="C107" s="213"/>
      <c r="D107" s="213"/>
      <c r="E107" s="82"/>
      <c r="F107" s="82"/>
      <c r="G107" s="83"/>
      <c r="H107" s="84"/>
      <c r="I107" s="84"/>
      <c r="J107" s="85"/>
      <c r="K107" s="82"/>
      <c r="M107" s="1"/>
      <c r="N107" s="1"/>
      <c r="O107" s="1"/>
      <c r="P107" s="1"/>
      <c r="Q107" s="1"/>
      <c r="S107" s="63">
        <v>546</v>
      </c>
    </row>
    <row r="108" spans="2:19">
      <c r="B108" s="125"/>
      <c r="C108" s="213"/>
      <c r="D108" s="213"/>
      <c r="E108" s="82"/>
      <c r="F108" s="82"/>
      <c r="G108" s="83"/>
      <c r="H108" s="84"/>
      <c r="I108" s="84"/>
      <c r="J108" s="85"/>
      <c r="K108" s="82"/>
      <c r="M108" s="1"/>
      <c r="N108" s="1"/>
      <c r="O108" s="1"/>
      <c r="P108" s="1"/>
      <c r="Q108" s="1"/>
      <c r="S108" s="63">
        <v>547</v>
      </c>
    </row>
    <row r="109" spans="2:19">
      <c r="B109" s="125"/>
      <c r="C109" s="213"/>
      <c r="D109" s="213"/>
      <c r="E109" s="82"/>
      <c r="F109" s="82"/>
      <c r="G109" s="83"/>
      <c r="H109" s="84"/>
      <c r="I109" s="84"/>
      <c r="J109" s="85"/>
      <c r="K109" s="82"/>
      <c r="M109" s="1"/>
      <c r="N109" s="1"/>
      <c r="O109" s="1"/>
      <c r="P109" s="1"/>
      <c r="Q109" s="1"/>
      <c r="S109" s="63">
        <v>548</v>
      </c>
    </row>
    <row r="110" spans="2:19">
      <c r="B110" s="125"/>
      <c r="C110" s="213"/>
      <c r="D110" s="213"/>
      <c r="E110" s="82"/>
      <c r="F110" s="82"/>
      <c r="G110" s="83"/>
      <c r="H110" s="84"/>
      <c r="I110" s="84"/>
      <c r="J110" s="85"/>
      <c r="K110" s="82"/>
      <c r="M110" s="1"/>
      <c r="N110" s="1"/>
      <c r="O110" s="1"/>
      <c r="P110" s="1"/>
      <c r="Q110" s="1"/>
      <c r="S110" s="63">
        <v>549</v>
      </c>
    </row>
    <row r="111" spans="2:19">
      <c r="B111" s="125"/>
      <c r="C111" s="213"/>
      <c r="D111" s="213"/>
      <c r="E111" s="82"/>
      <c r="F111" s="82"/>
      <c r="G111" s="83"/>
      <c r="H111" s="84"/>
      <c r="I111" s="84"/>
      <c r="J111" s="85"/>
      <c r="K111" s="82"/>
      <c r="M111" s="1"/>
      <c r="N111" s="1"/>
      <c r="O111" s="1"/>
      <c r="P111" s="1"/>
      <c r="Q111" s="1"/>
      <c r="S111" s="63">
        <v>550</v>
      </c>
    </row>
    <row r="112" spans="2:19">
      <c r="B112" s="125"/>
      <c r="C112" s="213"/>
      <c r="D112" s="213"/>
      <c r="E112" s="82"/>
      <c r="F112" s="82"/>
      <c r="G112" s="83"/>
      <c r="H112" s="84"/>
      <c r="I112" s="84"/>
      <c r="J112" s="85"/>
      <c r="K112" s="82"/>
      <c r="M112" s="1"/>
      <c r="N112" s="1"/>
      <c r="O112" s="1"/>
      <c r="P112" s="1"/>
      <c r="Q112" s="1"/>
      <c r="S112" s="63">
        <v>551</v>
      </c>
    </row>
    <row r="113" spans="2:19">
      <c r="B113" s="125"/>
      <c r="C113" s="213"/>
      <c r="D113" s="213"/>
      <c r="E113" s="82"/>
      <c r="F113" s="82"/>
      <c r="G113" s="83"/>
      <c r="H113" s="84"/>
      <c r="I113" s="84"/>
      <c r="J113" s="85"/>
      <c r="K113" s="82"/>
      <c r="M113" s="1"/>
      <c r="N113" s="1"/>
      <c r="O113" s="1"/>
      <c r="P113" s="1"/>
      <c r="Q113" s="1"/>
      <c r="S113" s="63">
        <v>552</v>
      </c>
    </row>
    <row r="114" spans="2:19">
      <c r="B114" s="125"/>
      <c r="C114" s="213"/>
      <c r="D114" s="213"/>
      <c r="E114" s="82"/>
      <c r="F114" s="82"/>
      <c r="G114" s="83"/>
      <c r="H114" s="84"/>
      <c r="I114" s="84"/>
      <c r="J114" s="85"/>
      <c r="K114" s="82"/>
      <c r="M114" s="1"/>
      <c r="N114" s="1"/>
      <c r="O114" s="1"/>
      <c r="P114" s="1"/>
      <c r="Q114" s="1"/>
      <c r="S114" s="63">
        <v>553</v>
      </c>
    </row>
    <row r="115" spans="2:19">
      <c r="B115" s="125"/>
      <c r="C115" s="213"/>
      <c r="D115" s="213"/>
      <c r="E115" s="82"/>
      <c r="F115" s="82"/>
      <c r="G115" s="83"/>
      <c r="H115" s="84"/>
      <c r="I115" s="84"/>
      <c r="J115" s="85"/>
      <c r="K115" s="82"/>
      <c r="M115" s="1"/>
      <c r="N115" s="1"/>
      <c r="O115" s="1"/>
      <c r="P115" s="1"/>
      <c r="Q115" s="1"/>
      <c r="S115" s="63">
        <v>554</v>
      </c>
    </row>
    <row r="116" spans="2:19">
      <c r="B116" s="125"/>
      <c r="C116" s="213"/>
      <c r="D116" s="213"/>
      <c r="E116" s="82"/>
      <c r="F116" s="82"/>
      <c r="G116" s="83"/>
      <c r="H116" s="84"/>
      <c r="I116" s="84"/>
      <c r="J116" s="85"/>
      <c r="K116" s="82"/>
      <c r="M116" s="1"/>
      <c r="N116" s="1"/>
      <c r="O116" s="1"/>
      <c r="P116" s="1"/>
      <c r="Q116" s="1"/>
      <c r="S116" s="63">
        <v>555</v>
      </c>
    </row>
    <row r="117" spans="2:19">
      <c r="B117" s="125"/>
      <c r="C117" s="213"/>
      <c r="D117" s="213"/>
      <c r="E117" s="82"/>
      <c r="F117" s="82"/>
      <c r="G117" s="83"/>
      <c r="H117" s="84"/>
      <c r="I117" s="84"/>
      <c r="J117" s="85"/>
      <c r="K117" s="82"/>
      <c r="M117" s="1"/>
      <c r="N117" s="1"/>
      <c r="O117" s="1"/>
      <c r="P117" s="1"/>
      <c r="Q117" s="1"/>
      <c r="S117" s="63">
        <v>556</v>
      </c>
    </row>
    <row r="118" spans="2:19">
      <c r="B118" s="125"/>
      <c r="C118" s="213"/>
      <c r="D118" s="213"/>
      <c r="E118" s="82"/>
      <c r="F118" s="82"/>
      <c r="G118" s="83"/>
      <c r="H118" s="84"/>
      <c r="I118" s="84"/>
      <c r="J118" s="85"/>
      <c r="K118" s="82"/>
      <c r="M118" s="1"/>
      <c r="N118" s="1"/>
      <c r="O118" s="1"/>
      <c r="P118" s="1"/>
      <c r="Q118" s="1"/>
      <c r="S118" s="63">
        <v>557</v>
      </c>
    </row>
    <row r="119" spans="2:19">
      <c r="B119" s="125" t="e">
        <f>#REF! &amp;"_"&amp;S118</f>
        <v>#REF!</v>
      </c>
      <c r="C119" s="213"/>
      <c r="D119" s="213"/>
      <c r="E119" s="82"/>
      <c r="F119" s="82"/>
      <c r="G119" s="83"/>
      <c r="H119" s="84"/>
      <c r="I119" s="84"/>
      <c r="J119" s="85"/>
      <c r="K119" s="82" t="str">
        <f t="shared" ref="K119:K139" si="0">IF(H119="","",$E$6)</f>
        <v/>
      </c>
      <c r="M119" s="1"/>
      <c r="N119" s="1"/>
      <c r="O119" s="1"/>
      <c r="P119" s="1"/>
      <c r="Q119" s="1"/>
      <c r="S119" s="63">
        <v>558</v>
      </c>
    </row>
    <row r="120" spans="2:19">
      <c r="B120" s="125" t="e">
        <f>#REF! &amp;"_"&amp;S119</f>
        <v>#REF!</v>
      </c>
      <c r="C120" s="213"/>
      <c r="D120" s="213"/>
      <c r="E120" s="82"/>
      <c r="F120" s="82"/>
      <c r="G120" s="83"/>
      <c r="H120" s="84"/>
      <c r="I120" s="84"/>
      <c r="J120" s="85"/>
      <c r="K120" s="82" t="str">
        <f t="shared" si="0"/>
        <v/>
      </c>
      <c r="M120" s="1"/>
      <c r="N120" s="1"/>
      <c r="O120" s="1"/>
      <c r="P120" s="1"/>
      <c r="Q120" s="1"/>
      <c r="S120" s="63">
        <v>559</v>
      </c>
    </row>
    <row r="121" spans="2:19">
      <c r="B121" s="125" t="e">
        <f>#REF! &amp;"_"&amp;S120</f>
        <v>#REF!</v>
      </c>
      <c r="C121" s="213"/>
      <c r="D121" s="213"/>
      <c r="E121" s="82"/>
      <c r="F121" s="82"/>
      <c r="G121" s="83"/>
      <c r="H121" s="84"/>
      <c r="I121" s="84"/>
      <c r="J121" s="85"/>
      <c r="K121" s="82" t="str">
        <f t="shared" si="0"/>
        <v/>
      </c>
      <c r="M121" s="1"/>
      <c r="N121" s="1"/>
      <c r="O121" s="1"/>
      <c r="P121" s="1"/>
      <c r="Q121" s="1"/>
      <c r="S121" s="63">
        <v>560</v>
      </c>
    </row>
    <row r="122" spans="2:19">
      <c r="B122" s="125" t="e">
        <f>#REF! &amp;"_"&amp;S121</f>
        <v>#REF!</v>
      </c>
      <c r="C122" s="213"/>
      <c r="D122" s="213"/>
      <c r="E122" s="82"/>
      <c r="F122" s="82"/>
      <c r="G122" s="83"/>
      <c r="H122" s="84"/>
      <c r="I122" s="84"/>
      <c r="J122" s="85"/>
      <c r="K122" s="82" t="str">
        <f t="shared" si="0"/>
        <v/>
      </c>
      <c r="M122" s="1"/>
      <c r="N122" s="1"/>
      <c r="O122" s="1"/>
      <c r="P122" s="1"/>
      <c r="Q122" s="1"/>
      <c r="S122" s="63">
        <v>561</v>
      </c>
    </row>
    <row r="123" spans="2:19">
      <c r="B123" s="125" t="e">
        <f>#REF! &amp;"_"&amp;S122</f>
        <v>#REF!</v>
      </c>
      <c r="C123" s="213"/>
      <c r="D123" s="213"/>
      <c r="E123" s="82"/>
      <c r="F123" s="82"/>
      <c r="G123" s="83"/>
      <c r="H123" s="84"/>
      <c r="I123" s="84"/>
      <c r="J123" s="85"/>
      <c r="K123" s="82" t="str">
        <f t="shared" si="0"/>
        <v/>
      </c>
      <c r="M123" s="1"/>
      <c r="N123" s="1"/>
      <c r="O123" s="1"/>
      <c r="P123" s="1"/>
      <c r="Q123" s="1"/>
      <c r="S123" s="63">
        <v>562</v>
      </c>
    </row>
    <row r="124" spans="2:19">
      <c r="B124" s="125" t="e">
        <f>#REF! &amp;"_"&amp;S123</f>
        <v>#REF!</v>
      </c>
      <c r="C124" s="213"/>
      <c r="D124" s="213"/>
      <c r="E124" s="82"/>
      <c r="F124" s="82"/>
      <c r="G124" s="83"/>
      <c r="H124" s="84"/>
      <c r="I124" s="84"/>
      <c r="J124" s="85"/>
      <c r="K124" s="82" t="str">
        <f t="shared" si="0"/>
        <v/>
      </c>
      <c r="M124" s="1"/>
      <c r="N124" s="1"/>
      <c r="O124" s="1"/>
      <c r="P124" s="1"/>
      <c r="Q124" s="1"/>
      <c r="S124" s="63">
        <v>563</v>
      </c>
    </row>
    <row r="125" spans="2:19">
      <c r="B125" s="125" t="e">
        <f>#REF! &amp;"_"&amp;S124</f>
        <v>#REF!</v>
      </c>
      <c r="C125" s="213"/>
      <c r="D125" s="213"/>
      <c r="E125" s="82"/>
      <c r="F125" s="82"/>
      <c r="G125" s="83"/>
      <c r="H125" s="84"/>
      <c r="I125" s="84"/>
      <c r="J125" s="85"/>
      <c r="K125" s="82" t="str">
        <f t="shared" si="0"/>
        <v/>
      </c>
      <c r="M125" s="1"/>
      <c r="N125" s="1"/>
      <c r="O125" s="1"/>
      <c r="P125" s="1"/>
      <c r="Q125" s="1"/>
      <c r="S125" s="63">
        <v>564</v>
      </c>
    </row>
    <row r="126" spans="2:19">
      <c r="B126" s="125" t="e">
        <f>#REF! &amp;"_"&amp;S125</f>
        <v>#REF!</v>
      </c>
      <c r="C126" s="213"/>
      <c r="D126" s="213"/>
      <c r="E126" s="82"/>
      <c r="F126" s="82"/>
      <c r="G126" s="83"/>
      <c r="H126" s="84"/>
      <c r="I126" s="84"/>
      <c r="J126" s="85"/>
      <c r="K126" s="82" t="str">
        <f t="shared" si="0"/>
        <v/>
      </c>
      <c r="M126" s="1"/>
      <c r="N126" s="1"/>
      <c r="O126" s="1"/>
      <c r="P126" s="1"/>
      <c r="Q126" s="1"/>
      <c r="S126" s="63">
        <v>565</v>
      </c>
    </row>
    <row r="127" spans="2:19">
      <c r="B127" s="125" t="e">
        <f>#REF! &amp;"_"&amp;S126</f>
        <v>#REF!</v>
      </c>
      <c r="C127" s="213"/>
      <c r="D127" s="213"/>
      <c r="E127" s="82"/>
      <c r="F127" s="82"/>
      <c r="G127" s="83"/>
      <c r="H127" s="84"/>
      <c r="I127" s="84"/>
      <c r="J127" s="85"/>
      <c r="K127" s="82" t="str">
        <f t="shared" si="0"/>
        <v/>
      </c>
      <c r="M127" s="1"/>
      <c r="N127" s="1"/>
      <c r="O127" s="1"/>
      <c r="P127" s="1"/>
      <c r="Q127" s="1"/>
      <c r="S127" s="63">
        <v>566</v>
      </c>
    </row>
    <row r="128" spans="2:19">
      <c r="B128" s="125" t="e">
        <f>#REF! &amp;"_"&amp;S127</f>
        <v>#REF!</v>
      </c>
      <c r="C128" s="213"/>
      <c r="D128" s="213"/>
      <c r="E128" s="82"/>
      <c r="F128" s="82"/>
      <c r="G128" s="83"/>
      <c r="H128" s="84"/>
      <c r="I128" s="84"/>
      <c r="J128" s="85"/>
      <c r="K128" s="82" t="str">
        <f t="shared" si="0"/>
        <v/>
      </c>
      <c r="M128" s="1"/>
      <c r="N128" s="1"/>
      <c r="O128" s="1"/>
      <c r="P128" s="1"/>
      <c r="Q128" s="1"/>
      <c r="S128" s="63">
        <v>567</v>
      </c>
    </row>
    <row r="129" spans="2:19">
      <c r="B129" s="125" t="e">
        <f>#REF! &amp;"_"&amp;S128</f>
        <v>#REF!</v>
      </c>
      <c r="C129" s="213"/>
      <c r="D129" s="213"/>
      <c r="E129" s="82"/>
      <c r="F129" s="82"/>
      <c r="G129" s="83"/>
      <c r="H129" s="84"/>
      <c r="I129" s="84"/>
      <c r="J129" s="85"/>
      <c r="K129" s="82" t="str">
        <f t="shared" si="0"/>
        <v/>
      </c>
      <c r="M129" s="1"/>
      <c r="N129" s="1"/>
      <c r="O129" s="1"/>
      <c r="P129" s="1"/>
      <c r="Q129" s="1"/>
      <c r="S129" s="63">
        <v>568</v>
      </c>
    </row>
    <row r="130" spans="2:19">
      <c r="B130" s="125" t="e">
        <f>#REF! &amp;"_"&amp;S129</f>
        <v>#REF!</v>
      </c>
      <c r="C130" s="213"/>
      <c r="D130" s="213"/>
      <c r="E130" s="82"/>
      <c r="F130" s="82"/>
      <c r="G130" s="83"/>
      <c r="H130" s="84"/>
      <c r="I130" s="84"/>
      <c r="J130" s="85"/>
      <c r="K130" s="82" t="str">
        <f t="shared" si="0"/>
        <v/>
      </c>
      <c r="M130" s="1"/>
      <c r="N130" s="1"/>
      <c r="O130" s="1"/>
      <c r="P130" s="1"/>
      <c r="Q130" s="1"/>
      <c r="S130" s="63">
        <v>569</v>
      </c>
    </row>
    <row r="131" spans="2:19">
      <c r="B131" s="125" t="e">
        <f>#REF! &amp;"_"&amp;S130</f>
        <v>#REF!</v>
      </c>
      <c r="C131" s="213"/>
      <c r="D131" s="213"/>
      <c r="E131" s="82"/>
      <c r="F131" s="82"/>
      <c r="G131" s="83"/>
      <c r="H131" s="84"/>
      <c r="I131" s="84"/>
      <c r="J131" s="85"/>
      <c r="K131" s="82" t="str">
        <f t="shared" si="0"/>
        <v/>
      </c>
      <c r="M131" s="1"/>
      <c r="N131" s="1"/>
      <c r="O131" s="1"/>
      <c r="P131" s="1"/>
      <c r="Q131" s="1"/>
      <c r="S131" s="63">
        <v>570</v>
      </c>
    </row>
    <row r="132" spans="2:19">
      <c r="B132" s="125" t="e">
        <f>#REF! &amp;"_"&amp;S131</f>
        <v>#REF!</v>
      </c>
      <c r="C132" s="213"/>
      <c r="D132" s="213"/>
      <c r="E132" s="82"/>
      <c r="F132" s="82"/>
      <c r="G132" s="83"/>
      <c r="H132" s="84"/>
      <c r="I132" s="84"/>
      <c r="J132" s="85"/>
      <c r="K132" s="82" t="str">
        <f t="shared" si="0"/>
        <v/>
      </c>
      <c r="M132" s="1"/>
      <c r="N132" s="1"/>
      <c r="O132" s="1"/>
      <c r="P132" s="1"/>
      <c r="Q132" s="1"/>
      <c r="S132" s="63">
        <v>571</v>
      </c>
    </row>
    <row r="133" spans="2:19">
      <c r="B133" s="125" t="e">
        <f>#REF! &amp;"_"&amp;S132</f>
        <v>#REF!</v>
      </c>
      <c r="C133" s="213"/>
      <c r="D133" s="213"/>
      <c r="E133" s="82"/>
      <c r="F133" s="82"/>
      <c r="G133" s="83"/>
      <c r="H133" s="84"/>
      <c r="I133" s="84"/>
      <c r="J133" s="85"/>
      <c r="K133" s="82" t="str">
        <f t="shared" si="0"/>
        <v/>
      </c>
      <c r="M133" s="1"/>
      <c r="N133" s="1"/>
      <c r="O133" s="1"/>
      <c r="P133" s="1"/>
      <c r="Q133" s="1"/>
      <c r="S133" s="63">
        <v>572</v>
      </c>
    </row>
    <row r="134" spans="2:19">
      <c r="B134" s="125" t="e">
        <f>#REF! &amp;"_"&amp;S133</f>
        <v>#REF!</v>
      </c>
      <c r="C134" s="213"/>
      <c r="D134" s="213"/>
      <c r="E134" s="82"/>
      <c r="F134" s="82"/>
      <c r="G134" s="83"/>
      <c r="H134" s="84"/>
      <c r="I134" s="84"/>
      <c r="J134" s="85"/>
      <c r="K134" s="82" t="str">
        <f t="shared" si="0"/>
        <v/>
      </c>
      <c r="M134" s="1"/>
      <c r="N134" s="1"/>
      <c r="O134" s="1"/>
      <c r="P134" s="1"/>
      <c r="Q134" s="1"/>
      <c r="S134" s="63">
        <v>573</v>
      </c>
    </row>
    <row r="135" spans="2:19">
      <c r="B135" s="125" t="e">
        <f>#REF! &amp;"_"&amp;S134</f>
        <v>#REF!</v>
      </c>
      <c r="C135" s="213"/>
      <c r="D135" s="213"/>
      <c r="E135" s="82"/>
      <c r="F135" s="82"/>
      <c r="G135" s="83"/>
      <c r="H135" s="84"/>
      <c r="I135" s="84"/>
      <c r="J135" s="85"/>
      <c r="K135" s="82" t="str">
        <f t="shared" si="0"/>
        <v/>
      </c>
      <c r="M135" s="1"/>
      <c r="N135" s="1"/>
      <c r="O135" s="1"/>
      <c r="P135" s="1"/>
      <c r="Q135" s="1"/>
      <c r="S135" s="63">
        <v>574</v>
      </c>
    </row>
    <row r="136" spans="2:19">
      <c r="B136" s="125" t="e">
        <f>#REF! &amp;"_"&amp;S135</f>
        <v>#REF!</v>
      </c>
      <c r="C136" s="213"/>
      <c r="D136" s="213"/>
      <c r="E136" s="82"/>
      <c r="F136" s="82"/>
      <c r="G136" s="83"/>
      <c r="H136" s="84"/>
      <c r="I136" s="84"/>
      <c r="J136" s="85"/>
      <c r="K136" s="82" t="str">
        <f t="shared" si="0"/>
        <v/>
      </c>
      <c r="M136" s="1"/>
      <c r="N136" s="1"/>
      <c r="O136" s="1"/>
      <c r="P136" s="1"/>
      <c r="Q136" s="1"/>
      <c r="S136" s="63">
        <v>575</v>
      </c>
    </row>
    <row r="137" spans="2:19">
      <c r="B137" s="125" t="e">
        <f>#REF! &amp;"_"&amp;S136</f>
        <v>#REF!</v>
      </c>
      <c r="C137" s="213"/>
      <c r="D137" s="213"/>
      <c r="E137" s="82"/>
      <c r="F137" s="82"/>
      <c r="G137" s="83"/>
      <c r="H137" s="84"/>
      <c r="I137" s="84"/>
      <c r="J137" s="85"/>
      <c r="K137" s="82" t="str">
        <f t="shared" si="0"/>
        <v/>
      </c>
      <c r="M137" s="1"/>
      <c r="N137" s="1"/>
      <c r="O137" s="1"/>
      <c r="P137" s="1"/>
      <c r="Q137" s="1"/>
      <c r="S137" s="63">
        <v>576</v>
      </c>
    </row>
    <row r="138" spans="2:19">
      <c r="B138" s="125" t="e">
        <f>#REF! &amp;"_"&amp;S137</f>
        <v>#REF!</v>
      </c>
      <c r="C138" s="213"/>
      <c r="D138" s="213"/>
      <c r="E138" s="82"/>
      <c r="F138" s="82"/>
      <c r="G138" s="83"/>
      <c r="H138" s="84"/>
      <c r="I138" s="84"/>
      <c r="J138" s="85"/>
      <c r="K138" s="82" t="str">
        <f t="shared" si="0"/>
        <v/>
      </c>
      <c r="M138" s="1"/>
      <c r="N138" s="1"/>
      <c r="O138" s="1"/>
      <c r="P138" s="1"/>
      <c r="Q138" s="1"/>
      <c r="S138" s="63">
        <v>577</v>
      </c>
    </row>
    <row r="139" spans="2:19">
      <c r="B139" s="125" t="e">
        <f>#REF! &amp;"_"&amp;S138</f>
        <v>#REF!</v>
      </c>
      <c r="C139" s="213"/>
      <c r="D139" s="213"/>
      <c r="E139" s="82"/>
      <c r="F139" s="82"/>
      <c r="G139" s="83"/>
      <c r="H139" s="84"/>
      <c r="I139" s="84"/>
      <c r="J139" s="85"/>
      <c r="K139" s="82" t="str">
        <f t="shared" si="0"/>
        <v/>
      </c>
      <c r="M139" s="1"/>
      <c r="N139" s="1"/>
      <c r="O139" s="1"/>
      <c r="P139" s="1"/>
      <c r="Q139" s="1"/>
      <c r="S139" s="63">
        <v>578</v>
      </c>
    </row>
    <row r="140" spans="2:19">
      <c r="B140" s="125" t="e">
        <f>#REF! &amp;"_"&amp;S139</f>
        <v>#REF!</v>
      </c>
      <c r="C140" s="213"/>
      <c r="D140" s="213"/>
      <c r="E140" s="82"/>
      <c r="F140" s="82"/>
      <c r="G140" s="83"/>
      <c r="H140" s="84"/>
      <c r="I140" s="84"/>
      <c r="J140" s="85"/>
      <c r="K140" s="82" t="str">
        <f t="shared" ref="K140:K203" si="1">IF(H140="","",$E$6)</f>
        <v/>
      </c>
      <c r="M140" s="1"/>
      <c r="N140" s="1"/>
      <c r="O140" s="1"/>
      <c r="P140" s="1"/>
      <c r="Q140" s="1"/>
      <c r="S140" s="63">
        <v>579</v>
      </c>
    </row>
    <row r="141" spans="2:19">
      <c r="B141" s="125" t="e">
        <f>#REF! &amp;"_"&amp;S140</f>
        <v>#REF!</v>
      </c>
      <c r="C141" s="213"/>
      <c r="D141" s="213"/>
      <c r="E141" s="82"/>
      <c r="F141" s="82"/>
      <c r="G141" s="83"/>
      <c r="H141" s="84"/>
      <c r="I141" s="84"/>
      <c r="J141" s="85"/>
      <c r="K141" s="82" t="str">
        <f t="shared" si="1"/>
        <v/>
      </c>
      <c r="M141" s="1"/>
      <c r="N141" s="1"/>
      <c r="O141" s="1"/>
      <c r="P141" s="1"/>
      <c r="Q141" s="1"/>
      <c r="S141" s="63">
        <v>580</v>
      </c>
    </row>
    <row r="142" spans="2:19">
      <c r="B142" s="125" t="e">
        <f>#REF! &amp;"_"&amp;S141</f>
        <v>#REF!</v>
      </c>
      <c r="C142" s="213"/>
      <c r="D142" s="213"/>
      <c r="E142" s="82"/>
      <c r="F142" s="82"/>
      <c r="G142" s="83"/>
      <c r="H142" s="84"/>
      <c r="I142" s="84"/>
      <c r="J142" s="85"/>
      <c r="K142" s="82" t="str">
        <f t="shared" si="1"/>
        <v/>
      </c>
      <c r="M142" s="1"/>
      <c r="N142" s="1"/>
      <c r="O142" s="1"/>
      <c r="P142" s="1"/>
      <c r="Q142" s="1"/>
      <c r="S142" s="63">
        <v>581</v>
      </c>
    </row>
    <row r="143" spans="2:19">
      <c r="B143" s="125" t="e">
        <f>#REF! &amp;"_"&amp;S142</f>
        <v>#REF!</v>
      </c>
      <c r="C143" s="213"/>
      <c r="D143" s="213"/>
      <c r="E143" s="82"/>
      <c r="F143" s="82"/>
      <c r="G143" s="83"/>
      <c r="H143" s="84"/>
      <c r="I143" s="84"/>
      <c r="J143" s="85"/>
      <c r="K143" s="82" t="str">
        <f t="shared" si="1"/>
        <v/>
      </c>
      <c r="M143" s="1"/>
      <c r="N143" s="1"/>
      <c r="O143" s="1"/>
      <c r="P143" s="1"/>
      <c r="Q143" s="1"/>
      <c r="S143" s="63">
        <v>582</v>
      </c>
    </row>
    <row r="144" spans="2:19">
      <c r="B144" s="125" t="e">
        <f>#REF! &amp;"_"&amp;S143</f>
        <v>#REF!</v>
      </c>
      <c r="C144" s="213"/>
      <c r="D144" s="213"/>
      <c r="E144" s="82"/>
      <c r="F144" s="82"/>
      <c r="G144" s="83"/>
      <c r="H144" s="84"/>
      <c r="I144" s="84"/>
      <c r="J144" s="85"/>
      <c r="K144" s="82" t="str">
        <f t="shared" si="1"/>
        <v/>
      </c>
      <c r="M144" s="1"/>
      <c r="N144" s="1"/>
      <c r="O144" s="1"/>
      <c r="P144" s="1"/>
      <c r="Q144" s="1"/>
      <c r="S144" s="63">
        <v>583</v>
      </c>
    </row>
    <row r="145" spans="2:19">
      <c r="B145" s="125" t="e">
        <f>#REF! &amp;"_"&amp;S144</f>
        <v>#REF!</v>
      </c>
      <c r="C145" s="213"/>
      <c r="D145" s="213"/>
      <c r="E145" s="82"/>
      <c r="F145" s="82"/>
      <c r="G145" s="83"/>
      <c r="H145" s="84"/>
      <c r="I145" s="84"/>
      <c r="J145" s="85"/>
      <c r="K145" s="82" t="str">
        <f t="shared" si="1"/>
        <v/>
      </c>
      <c r="M145" s="1"/>
      <c r="N145" s="1"/>
      <c r="O145" s="1"/>
      <c r="P145" s="1"/>
      <c r="Q145" s="1"/>
      <c r="S145" s="63">
        <v>584</v>
      </c>
    </row>
    <row r="146" spans="2:19">
      <c r="B146" s="125" t="e">
        <f>#REF! &amp;"_"&amp;S145</f>
        <v>#REF!</v>
      </c>
      <c r="C146" s="213"/>
      <c r="D146" s="213"/>
      <c r="E146" s="82"/>
      <c r="F146" s="82"/>
      <c r="G146" s="83"/>
      <c r="H146" s="84"/>
      <c r="I146" s="84"/>
      <c r="J146" s="85"/>
      <c r="K146" s="82" t="str">
        <f t="shared" si="1"/>
        <v/>
      </c>
      <c r="M146" s="1"/>
      <c r="N146" s="1"/>
      <c r="O146" s="1"/>
      <c r="P146" s="1"/>
      <c r="Q146" s="1"/>
      <c r="S146" s="63">
        <v>585</v>
      </c>
    </row>
    <row r="147" spans="2:19">
      <c r="B147" s="125" t="e">
        <f>#REF! &amp;"_"&amp;S146</f>
        <v>#REF!</v>
      </c>
      <c r="C147" s="213"/>
      <c r="D147" s="213"/>
      <c r="E147" s="82"/>
      <c r="F147" s="82"/>
      <c r="G147" s="83"/>
      <c r="H147" s="84"/>
      <c r="I147" s="84"/>
      <c r="J147" s="85"/>
      <c r="K147" s="82" t="str">
        <f t="shared" si="1"/>
        <v/>
      </c>
      <c r="M147" s="1"/>
      <c r="N147" s="1"/>
      <c r="O147" s="1"/>
      <c r="P147" s="1"/>
      <c r="Q147" s="1"/>
      <c r="S147" s="63">
        <v>586</v>
      </c>
    </row>
    <row r="148" spans="2:19">
      <c r="B148" s="125" t="e">
        <f>#REF! &amp;"_"&amp;S147</f>
        <v>#REF!</v>
      </c>
      <c r="C148" s="213"/>
      <c r="D148" s="213"/>
      <c r="E148" s="82"/>
      <c r="F148" s="82"/>
      <c r="G148" s="83"/>
      <c r="H148" s="84"/>
      <c r="I148" s="84"/>
      <c r="J148" s="85"/>
      <c r="K148" s="82" t="str">
        <f t="shared" si="1"/>
        <v/>
      </c>
      <c r="M148" s="1"/>
      <c r="N148" s="1"/>
      <c r="O148" s="1"/>
      <c r="P148" s="1"/>
      <c r="Q148" s="1"/>
      <c r="S148" s="63">
        <v>587</v>
      </c>
    </row>
    <row r="149" spans="2:19">
      <c r="B149" s="125" t="e">
        <f>#REF! &amp;"_"&amp;S148</f>
        <v>#REF!</v>
      </c>
      <c r="C149" s="213"/>
      <c r="D149" s="213"/>
      <c r="E149" s="82"/>
      <c r="F149" s="82"/>
      <c r="G149" s="83"/>
      <c r="H149" s="84"/>
      <c r="I149" s="84"/>
      <c r="J149" s="85"/>
      <c r="K149" s="82" t="str">
        <f t="shared" si="1"/>
        <v/>
      </c>
      <c r="M149" s="1"/>
      <c r="N149" s="1"/>
      <c r="O149" s="1"/>
      <c r="P149" s="1"/>
      <c r="Q149" s="1"/>
      <c r="S149" s="63">
        <v>588</v>
      </c>
    </row>
    <row r="150" spans="2:19">
      <c r="B150" s="125" t="e">
        <f>#REF! &amp;"_"&amp;S149</f>
        <v>#REF!</v>
      </c>
      <c r="C150" s="213"/>
      <c r="D150" s="213"/>
      <c r="E150" s="82"/>
      <c r="F150" s="82"/>
      <c r="G150" s="83"/>
      <c r="H150" s="84"/>
      <c r="I150" s="84"/>
      <c r="J150" s="85"/>
      <c r="K150" s="82" t="str">
        <f t="shared" si="1"/>
        <v/>
      </c>
      <c r="M150" s="1"/>
      <c r="N150" s="1"/>
      <c r="O150" s="1"/>
      <c r="P150" s="1"/>
      <c r="Q150" s="1"/>
      <c r="S150" s="63">
        <v>589</v>
      </c>
    </row>
    <row r="151" spans="2:19">
      <c r="B151" s="125" t="e">
        <f>#REF! &amp;"_"&amp;S150</f>
        <v>#REF!</v>
      </c>
      <c r="C151" s="213"/>
      <c r="D151" s="213"/>
      <c r="E151" s="82"/>
      <c r="F151" s="82"/>
      <c r="G151" s="83"/>
      <c r="H151" s="84"/>
      <c r="I151" s="84"/>
      <c r="J151" s="85"/>
      <c r="K151" s="82" t="str">
        <f t="shared" si="1"/>
        <v/>
      </c>
      <c r="M151" s="1"/>
      <c r="N151" s="1"/>
      <c r="O151" s="1"/>
      <c r="P151" s="1"/>
      <c r="Q151" s="1"/>
      <c r="S151" s="63">
        <v>590</v>
      </c>
    </row>
    <row r="152" spans="2:19">
      <c r="B152" s="125" t="e">
        <f>#REF! &amp;"_"&amp;S151</f>
        <v>#REF!</v>
      </c>
      <c r="C152" s="213"/>
      <c r="D152" s="213"/>
      <c r="E152" s="82"/>
      <c r="F152" s="82"/>
      <c r="G152" s="83"/>
      <c r="H152" s="84"/>
      <c r="I152" s="84"/>
      <c r="J152" s="85"/>
      <c r="K152" s="82" t="str">
        <f t="shared" si="1"/>
        <v/>
      </c>
      <c r="M152" s="1"/>
      <c r="N152" s="1"/>
      <c r="O152" s="1"/>
      <c r="P152" s="1"/>
      <c r="Q152" s="1"/>
      <c r="S152" s="63">
        <v>591</v>
      </c>
    </row>
    <row r="153" spans="2:19">
      <c r="B153" s="125" t="e">
        <f>#REF! &amp;"_"&amp;S152</f>
        <v>#REF!</v>
      </c>
      <c r="C153" s="213"/>
      <c r="D153" s="213"/>
      <c r="E153" s="82"/>
      <c r="F153" s="82"/>
      <c r="G153" s="83"/>
      <c r="H153" s="84"/>
      <c r="I153" s="84"/>
      <c r="J153" s="85"/>
      <c r="K153" s="82" t="str">
        <f t="shared" si="1"/>
        <v/>
      </c>
      <c r="M153" s="1"/>
      <c r="N153" s="1"/>
      <c r="O153" s="1"/>
      <c r="P153" s="1"/>
      <c r="Q153" s="1"/>
      <c r="S153" s="63">
        <v>592</v>
      </c>
    </row>
    <row r="154" spans="2:19">
      <c r="B154" s="125" t="e">
        <f>#REF! &amp;"_"&amp;S153</f>
        <v>#REF!</v>
      </c>
      <c r="C154" s="213"/>
      <c r="D154" s="213"/>
      <c r="E154" s="82"/>
      <c r="F154" s="82"/>
      <c r="G154" s="83"/>
      <c r="H154" s="84"/>
      <c r="I154" s="84"/>
      <c r="J154" s="85"/>
      <c r="K154" s="82" t="str">
        <f t="shared" si="1"/>
        <v/>
      </c>
      <c r="M154" s="1"/>
      <c r="N154" s="1"/>
      <c r="O154" s="1"/>
      <c r="P154" s="1"/>
      <c r="Q154" s="1"/>
      <c r="S154" s="63">
        <v>593</v>
      </c>
    </row>
    <row r="155" spans="2:19">
      <c r="B155" s="125" t="e">
        <f>#REF! &amp;"_"&amp;S154</f>
        <v>#REF!</v>
      </c>
      <c r="C155" s="213"/>
      <c r="D155" s="213"/>
      <c r="E155" s="82"/>
      <c r="F155" s="82"/>
      <c r="G155" s="83"/>
      <c r="H155" s="84"/>
      <c r="I155" s="84"/>
      <c r="J155" s="85"/>
      <c r="K155" s="82" t="str">
        <f t="shared" si="1"/>
        <v/>
      </c>
      <c r="M155" s="1"/>
      <c r="N155" s="1"/>
      <c r="O155" s="1"/>
      <c r="P155" s="1"/>
      <c r="Q155" s="1"/>
      <c r="S155" s="63">
        <v>594</v>
      </c>
    </row>
    <row r="156" spans="2:19">
      <c r="B156" s="125" t="e">
        <f>#REF! &amp;"_"&amp;S155</f>
        <v>#REF!</v>
      </c>
      <c r="C156" s="213"/>
      <c r="D156" s="213"/>
      <c r="E156" s="82"/>
      <c r="F156" s="82"/>
      <c r="G156" s="83"/>
      <c r="H156" s="84"/>
      <c r="I156" s="84"/>
      <c r="J156" s="85"/>
      <c r="K156" s="82" t="str">
        <f t="shared" si="1"/>
        <v/>
      </c>
      <c r="M156" s="1"/>
      <c r="N156" s="1"/>
      <c r="O156" s="1"/>
      <c r="P156" s="1"/>
      <c r="Q156" s="1"/>
      <c r="S156" s="63">
        <v>595</v>
      </c>
    </row>
    <row r="157" spans="2:19">
      <c r="B157" s="125" t="e">
        <f>#REF! &amp;"_"&amp;S156</f>
        <v>#REF!</v>
      </c>
      <c r="C157" s="213"/>
      <c r="D157" s="213"/>
      <c r="E157" s="82"/>
      <c r="F157" s="82"/>
      <c r="G157" s="83"/>
      <c r="H157" s="84"/>
      <c r="I157" s="84"/>
      <c r="J157" s="85"/>
      <c r="K157" s="82" t="str">
        <f t="shared" si="1"/>
        <v/>
      </c>
      <c r="M157" s="1"/>
      <c r="N157" s="1"/>
      <c r="O157" s="1"/>
      <c r="P157" s="1"/>
      <c r="Q157" s="1"/>
      <c r="S157" s="63">
        <v>596</v>
      </c>
    </row>
    <row r="158" spans="2:19">
      <c r="B158" s="125" t="e">
        <f>#REF! &amp;"_"&amp;S157</f>
        <v>#REF!</v>
      </c>
      <c r="C158" s="213"/>
      <c r="D158" s="213"/>
      <c r="E158" s="82"/>
      <c r="F158" s="82"/>
      <c r="G158" s="83"/>
      <c r="H158" s="84"/>
      <c r="I158" s="84"/>
      <c r="J158" s="85"/>
      <c r="K158" s="82" t="str">
        <f t="shared" si="1"/>
        <v/>
      </c>
      <c r="M158" s="1"/>
      <c r="N158" s="1"/>
      <c r="O158" s="1"/>
      <c r="P158" s="1"/>
      <c r="Q158" s="1"/>
      <c r="S158" s="63">
        <v>597</v>
      </c>
    </row>
    <row r="159" spans="2:19">
      <c r="B159" s="125" t="e">
        <f>#REF! &amp;"_"&amp;S158</f>
        <v>#REF!</v>
      </c>
      <c r="C159" s="213"/>
      <c r="D159" s="213"/>
      <c r="E159" s="82"/>
      <c r="F159" s="82"/>
      <c r="G159" s="83"/>
      <c r="H159" s="84"/>
      <c r="I159" s="84"/>
      <c r="J159" s="85"/>
      <c r="K159" s="82" t="str">
        <f t="shared" si="1"/>
        <v/>
      </c>
      <c r="M159" s="1"/>
      <c r="N159" s="1"/>
      <c r="O159" s="1"/>
      <c r="P159" s="1"/>
      <c r="Q159" s="1"/>
      <c r="S159" s="63">
        <v>598</v>
      </c>
    </row>
    <row r="160" spans="2:19">
      <c r="B160" s="125" t="e">
        <f>#REF! &amp;"_"&amp;S159</f>
        <v>#REF!</v>
      </c>
      <c r="C160" s="213"/>
      <c r="D160" s="213"/>
      <c r="E160" s="82"/>
      <c r="F160" s="82"/>
      <c r="G160" s="83"/>
      <c r="H160" s="84"/>
      <c r="I160" s="84"/>
      <c r="J160" s="85"/>
      <c r="K160" s="82" t="str">
        <f t="shared" si="1"/>
        <v/>
      </c>
      <c r="M160" s="1"/>
      <c r="N160" s="1"/>
      <c r="O160" s="1"/>
      <c r="P160" s="1"/>
      <c r="Q160" s="1"/>
      <c r="S160" s="63">
        <v>599</v>
      </c>
    </row>
    <row r="161" spans="2:19">
      <c r="B161" s="125" t="e">
        <f>#REF! &amp;"_"&amp;S160</f>
        <v>#REF!</v>
      </c>
      <c r="C161" s="213"/>
      <c r="D161" s="213"/>
      <c r="E161" s="82"/>
      <c r="F161" s="82"/>
      <c r="G161" s="83"/>
      <c r="H161" s="84"/>
      <c r="I161" s="84"/>
      <c r="J161" s="85"/>
      <c r="K161" s="82" t="str">
        <f t="shared" si="1"/>
        <v/>
      </c>
      <c r="M161" s="1"/>
      <c r="N161" s="1"/>
      <c r="O161" s="1"/>
      <c r="P161" s="1"/>
      <c r="Q161" s="1"/>
      <c r="S161" s="63">
        <v>600</v>
      </c>
    </row>
    <row r="162" spans="2:19">
      <c r="B162" s="125" t="e">
        <f>#REF! &amp;"_"&amp;S161</f>
        <v>#REF!</v>
      </c>
      <c r="C162" s="213"/>
      <c r="D162" s="213"/>
      <c r="E162" s="82"/>
      <c r="F162" s="82"/>
      <c r="G162" s="83"/>
      <c r="H162" s="84"/>
      <c r="I162" s="84"/>
      <c r="J162" s="85"/>
      <c r="K162" s="82" t="str">
        <f t="shared" si="1"/>
        <v/>
      </c>
      <c r="M162" s="1"/>
      <c r="N162" s="1"/>
      <c r="O162" s="1"/>
      <c r="P162" s="1"/>
      <c r="Q162" s="1"/>
      <c r="S162" s="63">
        <v>601</v>
      </c>
    </row>
    <row r="163" spans="2:19">
      <c r="B163" s="125" t="e">
        <f>#REF! &amp;"_"&amp;S162</f>
        <v>#REF!</v>
      </c>
      <c r="C163" s="213"/>
      <c r="D163" s="213"/>
      <c r="E163" s="82"/>
      <c r="F163" s="82"/>
      <c r="G163" s="83"/>
      <c r="H163" s="84"/>
      <c r="I163" s="84"/>
      <c r="J163" s="85"/>
      <c r="K163" s="82" t="str">
        <f t="shared" si="1"/>
        <v/>
      </c>
      <c r="M163" s="1"/>
      <c r="N163" s="1"/>
      <c r="O163" s="1"/>
      <c r="P163" s="1"/>
      <c r="Q163" s="1"/>
      <c r="S163" s="63">
        <v>602</v>
      </c>
    </row>
    <row r="164" spans="2:19">
      <c r="B164" s="125" t="e">
        <f>#REF! &amp;"_"&amp;S163</f>
        <v>#REF!</v>
      </c>
      <c r="C164" s="213"/>
      <c r="D164" s="213"/>
      <c r="E164" s="82"/>
      <c r="F164" s="82"/>
      <c r="G164" s="83"/>
      <c r="H164" s="84"/>
      <c r="I164" s="84"/>
      <c r="J164" s="85"/>
      <c r="K164" s="82" t="str">
        <f t="shared" si="1"/>
        <v/>
      </c>
      <c r="M164" s="1"/>
      <c r="N164" s="1"/>
      <c r="O164" s="1"/>
      <c r="P164" s="1"/>
      <c r="Q164" s="1"/>
      <c r="S164" s="63">
        <v>603</v>
      </c>
    </row>
    <row r="165" spans="2:19">
      <c r="B165" s="125" t="e">
        <f>#REF! &amp;"_"&amp;S164</f>
        <v>#REF!</v>
      </c>
      <c r="C165" s="213"/>
      <c r="D165" s="213"/>
      <c r="E165" s="82"/>
      <c r="F165" s="82"/>
      <c r="G165" s="83"/>
      <c r="H165" s="84"/>
      <c r="I165" s="84"/>
      <c r="J165" s="85"/>
      <c r="K165" s="82" t="str">
        <f t="shared" si="1"/>
        <v/>
      </c>
      <c r="M165" s="1"/>
      <c r="N165" s="1"/>
      <c r="O165" s="1"/>
      <c r="P165" s="1"/>
      <c r="Q165" s="1"/>
      <c r="S165" s="63">
        <v>604</v>
      </c>
    </row>
    <row r="166" spans="2:19">
      <c r="B166" s="125" t="e">
        <f>#REF! &amp;"_"&amp;S165</f>
        <v>#REF!</v>
      </c>
      <c r="C166" s="213"/>
      <c r="D166" s="213"/>
      <c r="E166" s="82"/>
      <c r="F166" s="82"/>
      <c r="G166" s="83"/>
      <c r="H166" s="84"/>
      <c r="I166" s="84"/>
      <c r="J166" s="85"/>
      <c r="K166" s="82" t="str">
        <f t="shared" si="1"/>
        <v/>
      </c>
      <c r="M166" s="1"/>
      <c r="N166" s="1"/>
      <c r="O166" s="1"/>
      <c r="P166" s="1"/>
      <c r="Q166" s="1"/>
      <c r="S166" s="63">
        <v>605</v>
      </c>
    </row>
    <row r="167" spans="2:19">
      <c r="B167" s="125" t="e">
        <f>#REF! &amp;"_"&amp;S166</f>
        <v>#REF!</v>
      </c>
      <c r="C167" s="213"/>
      <c r="D167" s="213"/>
      <c r="E167" s="82"/>
      <c r="F167" s="82"/>
      <c r="G167" s="83"/>
      <c r="H167" s="84"/>
      <c r="I167" s="84"/>
      <c r="J167" s="85"/>
      <c r="K167" s="82" t="str">
        <f t="shared" si="1"/>
        <v/>
      </c>
      <c r="M167" s="1"/>
      <c r="N167" s="1"/>
      <c r="O167" s="1"/>
      <c r="P167" s="1"/>
      <c r="Q167" s="1"/>
      <c r="S167" s="63">
        <v>606</v>
      </c>
    </row>
    <row r="168" spans="2:19">
      <c r="B168" s="125" t="e">
        <f>#REF! &amp;"_"&amp;S167</f>
        <v>#REF!</v>
      </c>
      <c r="C168" s="213"/>
      <c r="D168" s="213"/>
      <c r="E168" s="82"/>
      <c r="F168" s="82"/>
      <c r="G168" s="83"/>
      <c r="H168" s="84"/>
      <c r="I168" s="84"/>
      <c r="J168" s="85"/>
      <c r="K168" s="82" t="str">
        <f t="shared" si="1"/>
        <v/>
      </c>
      <c r="M168" s="1"/>
      <c r="N168" s="1"/>
      <c r="O168" s="1"/>
      <c r="P168" s="1"/>
      <c r="Q168" s="1"/>
      <c r="S168" s="63">
        <v>607</v>
      </c>
    </row>
    <row r="169" spans="2:19">
      <c r="B169" s="125" t="e">
        <f>#REF! &amp;"_"&amp;S168</f>
        <v>#REF!</v>
      </c>
      <c r="C169" s="213"/>
      <c r="D169" s="213"/>
      <c r="E169" s="82"/>
      <c r="F169" s="82"/>
      <c r="G169" s="83"/>
      <c r="H169" s="84"/>
      <c r="I169" s="84"/>
      <c r="J169" s="85"/>
      <c r="K169" s="82" t="str">
        <f t="shared" si="1"/>
        <v/>
      </c>
      <c r="M169" s="1"/>
      <c r="N169" s="1"/>
      <c r="O169" s="1"/>
      <c r="P169" s="1"/>
      <c r="Q169" s="1"/>
      <c r="S169" s="63">
        <v>608</v>
      </c>
    </row>
    <row r="170" spans="2:19">
      <c r="B170" s="125" t="e">
        <f>#REF! &amp;"_"&amp;S169</f>
        <v>#REF!</v>
      </c>
      <c r="C170" s="213"/>
      <c r="D170" s="213"/>
      <c r="E170" s="82"/>
      <c r="F170" s="82"/>
      <c r="G170" s="83"/>
      <c r="H170" s="84"/>
      <c r="I170" s="84"/>
      <c r="J170" s="85"/>
      <c r="K170" s="82" t="str">
        <f t="shared" si="1"/>
        <v/>
      </c>
      <c r="M170" s="1"/>
      <c r="N170" s="1"/>
      <c r="O170" s="1"/>
      <c r="P170" s="1"/>
      <c r="Q170" s="1"/>
      <c r="S170" s="63">
        <v>609</v>
      </c>
    </row>
    <row r="171" spans="2:19">
      <c r="B171" s="125" t="e">
        <f>#REF! &amp;"_"&amp;S170</f>
        <v>#REF!</v>
      </c>
      <c r="C171" s="213"/>
      <c r="D171" s="213"/>
      <c r="E171" s="82"/>
      <c r="F171" s="82"/>
      <c r="G171" s="83"/>
      <c r="H171" s="84"/>
      <c r="I171" s="84"/>
      <c r="J171" s="85"/>
      <c r="K171" s="82" t="str">
        <f t="shared" si="1"/>
        <v/>
      </c>
      <c r="M171" s="1"/>
      <c r="N171" s="1"/>
      <c r="O171" s="1"/>
      <c r="P171" s="1"/>
      <c r="Q171" s="1"/>
      <c r="S171" s="63">
        <v>610</v>
      </c>
    </row>
    <row r="172" spans="2:19">
      <c r="B172" s="125" t="e">
        <f>#REF! &amp;"_"&amp;S171</f>
        <v>#REF!</v>
      </c>
      <c r="C172" s="213"/>
      <c r="D172" s="213"/>
      <c r="E172" s="82"/>
      <c r="F172" s="82"/>
      <c r="G172" s="83"/>
      <c r="H172" s="84"/>
      <c r="I172" s="84"/>
      <c r="J172" s="85"/>
      <c r="K172" s="82" t="str">
        <f t="shared" si="1"/>
        <v/>
      </c>
      <c r="M172" s="1"/>
      <c r="N172" s="1"/>
      <c r="O172" s="1"/>
      <c r="P172" s="1"/>
      <c r="Q172" s="1"/>
      <c r="S172" s="63">
        <v>611</v>
      </c>
    </row>
    <row r="173" spans="2:19">
      <c r="B173" s="125" t="e">
        <f>#REF! &amp;"_"&amp;S172</f>
        <v>#REF!</v>
      </c>
      <c r="C173" s="213"/>
      <c r="D173" s="213"/>
      <c r="E173" s="82"/>
      <c r="F173" s="82"/>
      <c r="G173" s="83"/>
      <c r="H173" s="84"/>
      <c r="I173" s="84"/>
      <c r="J173" s="85"/>
      <c r="K173" s="82" t="str">
        <f t="shared" si="1"/>
        <v/>
      </c>
      <c r="M173" s="1"/>
      <c r="N173" s="1"/>
      <c r="O173" s="1"/>
      <c r="P173" s="1"/>
      <c r="Q173" s="1"/>
      <c r="S173" s="63">
        <v>612</v>
      </c>
    </row>
    <row r="174" spans="2:19">
      <c r="B174" s="125" t="e">
        <f>#REF! &amp;"_"&amp;S173</f>
        <v>#REF!</v>
      </c>
      <c r="C174" s="213"/>
      <c r="D174" s="213"/>
      <c r="E174" s="82"/>
      <c r="F174" s="82"/>
      <c r="G174" s="83"/>
      <c r="H174" s="84"/>
      <c r="I174" s="84"/>
      <c r="J174" s="85"/>
      <c r="K174" s="82" t="str">
        <f t="shared" si="1"/>
        <v/>
      </c>
      <c r="M174" s="1"/>
      <c r="N174" s="1"/>
      <c r="O174" s="1"/>
      <c r="P174" s="1"/>
      <c r="Q174" s="1"/>
      <c r="S174" s="63">
        <v>613</v>
      </c>
    </row>
    <row r="175" spans="2:19">
      <c r="B175" s="125" t="e">
        <f>#REF! &amp;"_"&amp;S174</f>
        <v>#REF!</v>
      </c>
      <c r="C175" s="213"/>
      <c r="D175" s="213"/>
      <c r="E175" s="82"/>
      <c r="F175" s="82"/>
      <c r="G175" s="83"/>
      <c r="H175" s="84"/>
      <c r="I175" s="84"/>
      <c r="J175" s="85"/>
      <c r="K175" s="82" t="str">
        <f t="shared" si="1"/>
        <v/>
      </c>
      <c r="M175" s="1"/>
      <c r="N175" s="1"/>
      <c r="O175" s="1"/>
      <c r="P175" s="1"/>
      <c r="Q175" s="1"/>
      <c r="S175" s="63">
        <v>614</v>
      </c>
    </row>
    <row r="176" spans="2:19">
      <c r="B176" s="125" t="e">
        <f>#REF! &amp;"_"&amp;S175</f>
        <v>#REF!</v>
      </c>
      <c r="C176" s="213"/>
      <c r="D176" s="213"/>
      <c r="E176" s="82"/>
      <c r="F176" s="82"/>
      <c r="G176" s="83"/>
      <c r="H176" s="84"/>
      <c r="I176" s="84"/>
      <c r="J176" s="85"/>
      <c r="K176" s="82" t="str">
        <f t="shared" si="1"/>
        <v/>
      </c>
      <c r="M176" s="1"/>
      <c r="N176" s="1"/>
      <c r="O176" s="1"/>
      <c r="P176" s="1"/>
      <c r="Q176" s="1"/>
      <c r="S176" s="63">
        <v>615</v>
      </c>
    </row>
    <row r="177" spans="2:19">
      <c r="B177" s="125" t="e">
        <f>#REF! &amp;"_"&amp;S176</f>
        <v>#REF!</v>
      </c>
      <c r="C177" s="213"/>
      <c r="D177" s="213"/>
      <c r="E177" s="82"/>
      <c r="F177" s="82"/>
      <c r="G177" s="83"/>
      <c r="H177" s="84"/>
      <c r="I177" s="84"/>
      <c r="J177" s="85"/>
      <c r="K177" s="82" t="str">
        <f t="shared" si="1"/>
        <v/>
      </c>
      <c r="M177" s="1"/>
      <c r="N177" s="1"/>
      <c r="O177" s="1"/>
      <c r="P177" s="1"/>
      <c r="Q177" s="1"/>
      <c r="S177" s="63">
        <v>616</v>
      </c>
    </row>
    <row r="178" spans="2:19">
      <c r="B178" s="125" t="e">
        <f>#REF! &amp;"_"&amp;S177</f>
        <v>#REF!</v>
      </c>
      <c r="C178" s="213"/>
      <c r="D178" s="213"/>
      <c r="E178" s="82"/>
      <c r="F178" s="82"/>
      <c r="G178" s="83"/>
      <c r="H178" s="84"/>
      <c r="I178" s="84"/>
      <c r="J178" s="85"/>
      <c r="K178" s="82" t="str">
        <f t="shared" si="1"/>
        <v/>
      </c>
      <c r="M178" s="1"/>
      <c r="N178" s="1"/>
      <c r="O178" s="1"/>
      <c r="P178" s="1"/>
      <c r="Q178" s="1"/>
      <c r="S178" s="63">
        <v>617</v>
      </c>
    </row>
    <row r="179" spans="2:19">
      <c r="B179" s="125" t="e">
        <f>#REF! &amp;"_"&amp;S178</f>
        <v>#REF!</v>
      </c>
      <c r="C179" s="213"/>
      <c r="D179" s="213"/>
      <c r="E179" s="82"/>
      <c r="F179" s="82"/>
      <c r="G179" s="83"/>
      <c r="H179" s="84"/>
      <c r="I179" s="84"/>
      <c r="J179" s="85"/>
      <c r="K179" s="82" t="str">
        <f t="shared" si="1"/>
        <v/>
      </c>
      <c r="M179" s="1"/>
      <c r="N179" s="1"/>
      <c r="O179" s="1"/>
      <c r="P179" s="1"/>
      <c r="Q179" s="1"/>
      <c r="S179" s="63">
        <v>618</v>
      </c>
    </row>
    <row r="180" spans="2:19">
      <c r="B180" s="125" t="e">
        <f>#REF! &amp;"_"&amp;S179</f>
        <v>#REF!</v>
      </c>
      <c r="C180" s="213"/>
      <c r="D180" s="213"/>
      <c r="E180" s="82"/>
      <c r="F180" s="82"/>
      <c r="G180" s="83"/>
      <c r="H180" s="84"/>
      <c r="I180" s="84"/>
      <c r="J180" s="85"/>
      <c r="K180" s="82" t="str">
        <f t="shared" si="1"/>
        <v/>
      </c>
      <c r="M180" s="1"/>
      <c r="N180" s="1"/>
      <c r="O180" s="1"/>
      <c r="P180" s="1"/>
      <c r="Q180" s="1"/>
      <c r="S180" s="63">
        <v>619</v>
      </c>
    </row>
    <row r="181" spans="2:19">
      <c r="B181" s="125" t="e">
        <f>#REF! &amp;"_"&amp;S180</f>
        <v>#REF!</v>
      </c>
      <c r="C181" s="213"/>
      <c r="D181" s="213"/>
      <c r="E181" s="82"/>
      <c r="F181" s="82"/>
      <c r="G181" s="83"/>
      <c r="H181" s="84"/>
      <c r="I181" s="84"/>
      <c r="J181" s="85"/>
      <c r="K181" s="82" t="str">
        <f t="shared" si="1"/>
        <v/>
      </c>
      <c r="M181" s="1"/>
      <c r="N181" s="1"/>
      <c r="O181" s="1"/>
      <c r="P181" s="1"/>
      <c r="Q181" s="1"/>
      <c r="S181" s="63">
        <v>620</v>
      </c>
    </row>
    <row r="182" spans="2:19">
      <c r="B182" s="125" t="e">
        <f>#REF! &amp;"_"&amp;S181</f>
        <v>#REF!</v>
      </c>
      <c r="C182" s="213"/>
      <c r="D182" s="213"/>
      <c r="E182" s="82"/>
      <c r="F182" s="82"/>
      <c r="G182" s="83"/>
      <c r="H182" s="84"/>
      <c r="I182" s="84"/>
      <c r="J182" s="85"/>
      <c r="K182" s="82" t="str">
        <f t="shared" si="1"/>
        <v/>
      </c>
      <c r="M182" s="1"/>
      <c r="N182" s="1"/>
      <c r="O182" s="1"/>
      <c r="P182" s="1"/>
      <c r="Q182" s="1"/>
      <c r="S182" s="63">
        <v>621</v>
      </c>
    </row>
    <row r="183" spans="2:19">
      <c r="B183" s="125" t="e">
        <f>#REF! &amp;"_"&amp;S182</f>
        <v>#REF!</v>
      </c>
      <c r="C183" s="213"/>
      <c r="D183" s="213"/>
      <c r="E183" s="82"/>
      <c r="F183" s="82"/>
      <c r="G183" s="83"/>
      <c r="H183" s="84"/>
      <c r="I183" s="84"/>
      <c r="J183" s="85"/>
      <c r="K183" s="82" t="str">
        <f t="shared" si="1"/>
        <v/>
      </c>
      <c r="M183" s="1"/>
      <c r="N183" s="1"/>
      <c r="O183" s="1"/>
      <c r="P183" s="1"/>
      <c r="Q183" s="1"/>
      <c r="S183" s="63">
        <v>622</v>
      </c>
    </row>
    <row r="184" spans="2:19">
      <c r="B184" s="125" t="e">
        <f>#REF! &amp;"_"&amp;S183</f>
        <v>#REF!</v>
      </c>
      <c r="C184" s="213"/>
      <c r="D184" s="213"/>
      <c r="E184" s="82"/>
      <c r="F184" s="82"/>
      <c r="G184" s="83"/>
      <c r="H184" s="84"/>
      <c r="I184" s="84"/>
      <c r="J184" s="85"/>
      <c r="K184" s="82" t="str">
        <f t="shared" si="1"/>
        <v/>
      </c>
      <c r="M184" s="1"/>
      <c r="N184" s="1"/>
      <c r="O184" s="1"/>
      <c r="P184" s="1"/>
      <c r="Q184" s="1"/>
      <c r="S184" s="63">
        <v>623</v>
      </c>
    </row>
    <row r="185" spans="2:19">
      <c r="B185" s="125" t="e">
        <f>#REF! &amp;"_"&amp;S184</f>
        <v>#REF!</v>
      </c>
      <c r="C185" s="213"/>
      <c r="D185" s="213"/>
      <c r="E185" s="82"/>
      <c r="F185" s="82"/>
      <c r="G185" s="83"/>
      <c r="H185" s="84"/>
      <c r="I185" s="84"/>
      <c r="J185" s="85"/>
      <c r="K185" s="82" t="str">
        <f t="shared" si="1"/>
        <v/>
      </c>
      <c r="M185" s="1"/>
      <c r="N185" s="1"/>
      <c r="O185" s="1"/>
      <c r="P185" s="1"/>
      <c r="Q185" s="1"/>
      <c r="S185" s="63">
        <v>624</v>
      </c>
    </row>
    <row r="186" spans="2:19">
      <c r="B186" s="125" t="e">
        <f>#REF! &amp;"_"&amp;S185</f>
        <v>#REF!</v>
      </c>
      <c r="C186" s="213"/>
      <c r="D186" s="213"/>
      <c r="E186" s="82"/>
      <c r="F186" s="82"/>
      <c r="G186" s="83"/>
      <c r="H186" s="84"/>
      <c r="I186" s="84"/>
      <c r="J186" s="85"/>
      <c r="K186" s="82" t="str">
        <f t="shared" si="1"/>
        <v/>
      </c>
      <c r="M186" s="1"/>
      <c r="N186" s="1"/>
      <c r="O186" s="1"/>
      <c r="P186" s="1"/>
      <c r="Q186" s="1"/>
      <c r="S186" s="63">
        <v>625</v>
      </c>
    </row>
    <row r="187" spans="2:19">
      <c r="B187" s="125" t="e">
        <f>#REF! &amp;"_"&amp;S186</f>
        <v>#REF!</v>
      </c>
      <c r="C187" s="213"/>
      <c r="D187" s="213"/>
      <c r="E187" s="82"/>
      <c r="F187" s="82"/>
      <c r="G187" s="83"/>
      <c r="H187" s="84"/>
      <c r="I187" s="84"/>
      <c r="J187" s="85"/>
      <c r="K187" s="82" t="str">
        <f t="shared" si="1"/>
        <v/>
      </c>
      <c r="M187" s="1"/>
      <c r="N187" s="1"/>
      <c r="O187" s="1"/>
      <c r="P187" s="1"/>
      <c r="Q187" s="1"/>
      <c r="S187" s="63">
        <v>626</v>
      </c>
    </row>
    <row r="188" spans="2:19">
      <c r="B188" s="125" t="e">
        <f>#REF! &amp;"_"&amp;S187</f>
        <v>#REF!</v>
      </c>
      <c r="C188" s="213"/>
      <c r="D188" s="213"/>
      <c r="E188" s="82"/>
      <c r="F188" s="82"/>
      <c r="G188" s="83"/>
      <c r="H188" s="84"/>
      <c r="I188" s="84"/>
      <c r="J188" s="85"/>
      <c r="K188" s="82" t="str">
        <f t="shared" si="1"/>
        <v/>
      </c>
      <c r="M188" s="1"/>
      <c r="N188" s="1"/>
      <c r="O188" s="1"/>
      <c r="P188" s="1"/>
      <c r="Q188" s="1"/>
      <c r="S188" s="63">
        <v>627</v>
      </c>
    </row>
    <row r="189" spans="2:19">
      <c r="B189" s="125" t="e">
        <f>#REF! &amp;"_"&amp;S188</f>
        <v>#REF!</v>
      </c>
      <c r="C189" s="213"/>
      <c r="D189" s="213"/>
      <c r="E189" s="82"/>
      <c r="F189" s="82"/>
      <c r="G189" s="83"/>
      <c r="H189" s="84"/>
      <c r="I189" s="84"/>
      <c r="J189" s="85"/>
      <c r="K189" s="82" t="str">
        <f t="shared" si="1"/>
        <v/>
      </c>
      <c r="M189" s="1"/>
      <c r="N189" s="1"/>
      <c r="O189" s="1"/>
      <c r="P189" s="1"/>
      <c r="Q189" s="1"/>
      <c r="S189" s="63">
        <v>628</v>
      </c>
    </row>
    <row r="190" spans="2:19">
      <c r="B190" s="125" t="e">
        <f>#REF! &amp;"_"&amp;S189</f>
        <v>#REF!</v>
      </c>
      <c r="C190" s="213"/>
      <c r="D190" s="213"/>
      <c r="E190" s="82"/>
      <c r="F190" s="82"/>
      <c r="G190" s="83"/>
      <c r="H190" s="84"/>
      <c r="I190" s="84"/>
      <c r="J190" s="85"/>
      <c r="K190" s="82" t="str">
        <f t="shared" si="1"/>
        <v/>
      </c>
      <c r="M190" s="1"/>
      <c r="N190" s="1"/>
      <c r="O190" s="1"/>
      <c r="P190" s="1"/>
      <c r="Q190" s="1"/>
      <c r="S190" s="63">
        <v>629</v>
      </c>
    </row>
    <row r="191" spans="2:19">
      <c r="B191" s="125" t="e">
        <f>#REF! &amp;"_"&amp;S190</f>
        <v>#REF!</v>
      </c>
      <c r="C191" s="213"/>
      <c r="D191" s="213"/>
      <c r="E191" s="82"/>
      <c r="F191" s="82"/>
      <c r="G191" s="83"/>
      <c r="H191" s="84"/>
      <c r="I191" s="84"/>
      <c r="J191" s="85"/>
      <c r="K191" s="82" t="str">
        <f t="shared" si="1"/>
        <v/>
      </c>
      <c r="M191" s="1"/>
      <c r="N191" s="1"/>
      <c r="O191" s="1"/>
      <c r="P191" s="1"/>
      <c r="Q191" s="1"/>
      <c r="S191" s="63">
        <v>630</v>
      </c>
    </row>
    <row r="192" spans="2:19">
      <c r="B192" s="125" t="e">
        <f>#REF! &amp;"_"&amp;S191</f>
        <v>#REF!</v>
      </c>
      <c r="C192" s="213"/>
      <c r="D192" s="213"/>
      <c r="E192" s="82"/>
      <c r="F192" s="82"/>
      <c r="G192" s="83"/>
      <c r="H192" s="84"/>
      <c r="I192" s="84"/>
      <c r="J192" s="85"/>
      <c r="K192" s="82" t="str">
        <f t="shared" si="1"/>
        <v/>
      </c>
      <c r="M192" s="1"/>
      <c r="N192" s="1"/>
      <c r="O192" s="1"/>
      <c r="P192" s="1"/>
      <c r="Q192" s="1"/>
      <c r="S192" s="63">
        <v>631</v>
      </c>
    </row>
    <row r="193" spans="2:30">
      <c r="B193" s="125" t="e">
        <f>#REF! &amp;"_"&amp;S192</f>
        <v>#REF!</v>
      </c>
      <c r="C193" s="213"/>
      <c r="D193" s="213"/>
      <c r="E193" s="82"/>
      <c r="F193" s="82"/>
      <c r="G193" s="83"/>
      <c r="H193" s="84"/>
      <c r="I193" s="84"/>
      <c r="J193" s="85"/>
      <c r="K193" s="82" t="str">
        <f t="shared" si="1"/>
        <v/>
      </c>
      <c r="M193" s="1"/>
      <c r="N193" s="1"/>
      <c r="O193" s="1"/>
      <c r="P193" s="1"/>
      <c r="Q193" s="1"/>
      <c r="S193" s="63">
        <v>632</v>
      </c>
    </row>
    <row r="194" spans="2:30">
      <c r="B194" s="125" t="e">
        <f>#REF! &amp;"_"&amp;S193</f>
        <v>#REF!</v>
      </c>
      <c r="C194" s="213"/>
      <c r="D194" s="213"/>
      <c r="E194" s="82"/>
      <c r="F194" s="82"/>
      <c r="G194" s="83"/>
      <c r="H194" s="84"/>
      <c r="I194" s="84"/>
      <c r="J194" s="85"/>
      <c r="K194" s="82" t="str">
        <f t="shared" si="1"/>
        <v/>
      </c>
      <c r="M194" s="1"/>
      <c r="N194" s="1"/>
      <c r="O194" s="1"/>
      <c r="P194" s="1"/>
      <c r="Q194" s="1"/>
      <c r="S194" s="63">
        <v>633</v>
      </c>
    </row>
    <row r="195" spans="2:30">
      <c r="B195" s="125" t="e">
        <f>#REF! &amp;"_"&amp;S194</f>
        <v>#REF!</v>
      </c>
      <c r="C195" s="213"/>
      <c r="D195" s="213"/>
      <c r="E195" s="82"/>
      <c r="F195" s="82"/>
      <c r="G195" s="83"/>
      <c r="H195" s="84"/>
      <c r="I195" s="84"/>
      <c r="J195" s="85"/>
      <c r="K195" s="82" t="str">
        <f t="shared" si="1"/>
        <v/>
      </c>
      <c r="M195" s="1"/>
      <c r="N195" s="1"/>
      <c r="O195" s="1"/>
      <c r="P195" s="1"/>
      <c r="Q195" s="1"/>
      <c r="S195" s="63">
        <v>634</v>
      </c>
    </row>
    <row r="196" spans="2:30">
      <c r="B196" s="125" t="e">
        <f>#REF! &amp;"_"&amp;S195</f>
        <v>#REF!</v>
      </c>
      <c r="C196" s="213"/>
      <c r="D196" s="213"/>
      <c r="E196" s="82"/>
      <c r="F196" s="82"/>
      <c r="G196" s="83"/>
      <c r="H196" s="84"/>
      <c r="I196" s="84"/>
      <c r="J196" s="85"/>
      <c r="K196" s="82" t="str">
        <f t="shared" si="1"/>
        <v/>
      </c>
      <c r="M196" s="1"/>
      <c r="N196" s="1"/>
      <c r="O196" s="1"/>
      <c r="P196" s="1"/>
      <c r="Q196" s="1"/>
      <c r="S196" s="63">
        <v>635</v>
      </c>
    </row>
    <row r="197" spans="2:30">
      <c r="B197" s="125" t="e">
        <f>#REF! &amp;"_"&amp;S196</f>
        <v>#REF!</v>
      </c>
      <c r="C197" s="213"/>
      <c r="D197" s="213"/>
      <c r="E197" s="82"/>
      <c r="F197" s="82"/>
      <c r="G197" s="83"/>
      <c r="H197" s="84"/>
      <c r="I197" s="84"/>
      <c r="J197" s="85"/>
      <c r="K197" s="82" t="str">
        <f t="shared" si="1"/>
        <v/>
      </c>
      <c r="M197" s="1"/>
      <c r="N197" s="1"/>
      <c r="O197" s="1"/>
      <c r="P197" s="1"/>
      <c r="Q197" s="1"/>
      <c r="S197" s="63">
        <v>636</v>
      </c>
    </row>
    <row r="198" spans="2:30">
      <c r="B198" s="125" t="e">
        <f>#REF! &amp;"_"&amp;S197</f>
        <v>#REF!</v>
      </c>
      <c r="C198" s="213"/>
      <c r="D198" s="213"/>
      <c r="E198" s="82"/>
      <c r="F198" s="82"/>
      <c r="G198" s="83"/>
      <c r="H198" s="84"/>
      <c r="I198" s="84"/>
      <c r="J198" s="85"/>
      <c r="K198" s="82" t="str">
        <f t="shared" si="1"/>
        <v/>
      </c>
      <c r="M198" s="1"/>
      <c r="N198" s="1"/>
      <c r="O198" s="1"/>
      <c r="P198" s="1"/>
      <c r="Q198" s="1"/>
      <c r="S198" s="63">
        <v>637</v>
      </c>
    </row>
    <row r="199" spans="2:30">
      <c r="B199" s="125" t="e">
        <f>#REF! &amp;"_"&amp;S198</f>
        <v>#REF!</v>
      </c>
      <c r="C199" s="213"/>
      <c r="D199" s="213"/>
      <c r="E199" s="82"/>
      <c r="F199" s="82"/>
      <c r="G199" s="83"/>
      <c r="H199" s="84"/>
      <c r="I199" s="84"/>
      <c r="J199" s="85"/>
      <c r="K199" s="82" t="str">
        <f t="shared" si="1"/>
        <v/>
      </c>
      <c r="M199" s="1"/>
      <c r="N199" s="1"/>
      <c r="O199" s="1"/>
      <c r="P199" s="1"/>
      <c r="Q199" s="1"/>
      <c r="S199" s="63">
        <v>638</v>
      </c>
    </row>
    <row r="200" spans="2:30">
      <c r="B200" s="125" t="e">
        <f>#REF! &amp;"_"&amp;S199</f>
        <v>#REF!</v>
      </c>
      <c r="C200" s="213"/>
      <c r="D200" s="213"/>
      <c r="E200" s="82"/>
      <c r="F200" s="82"/>
      <c r="G200" s="83"/>
      <c r="H200" s="84"/>
      <c r="I200" s="84"/>
      <c r="J200" s="85"/>
      <c r="K200" s="82" t="str">
        <f t="shared" si="1"/>
        <v/>
      </c>
      <c r="M200" s="1"/>
      <c r="N200" s="1"/>
      <c r="O200" s="1"/>
      <c r="P200" s="1"/>
      <c r="Q200" s="1"/>
      <c r="S200" s="63">
        <v>639</v>
      </c>
    </row>
    <row r="201" spans="2:30">
      <c r="B201" s="125" t="e">
        <f>#REF! &amp;"_"&amp;S200</f>
        <v>#REF!</v>
      </c>
      <c r="C201" s="213"/>
      <c r="D201" s="213"/>
      <c r="E201" s="82"/>
      <c r="F201" s="82"/>
      <c r="G201" s="83"/>
      <c r="H201" s="84"/>
      <c r="I201" s="84"/>
      <c r="J201" s="85"/>
      <c r="K201" s="82" t="str">
        <f t="shared" si="1"/>
        <v/>
      </c>
      <c r="M201" s="1"/>
      <c r="N201" s="1"/>
      <c r="O201" s="1"/>
      <c r="P201" s="1"/>
      <c r="Q201" s="1"/>
      <c r="S201" s="63">
        <v>640</v>
      </c>
    </row>
    <row r="202" spans="2:30">
      <c r="B202" s="125" t="e">
        <f>#REF! &amp;"_"&amp;S201</f>
        <v>#REF!</v>
      </c>
      <c r="C202" s="213"/>
      <c r="D202" s="213"/>
      <c r="E202" s="82"/>
      <c r="F202" s="82"/>
      <c r="G202" s="83"/>
      <c r="H202" s="84"/>
      <c r="I202" s="84"/>
      <c r="J202" s="85"/>
      <c r="K202" s="82" t="str">
        <f t="shared" si="1"/>
        <v/>
      </c>
      <c r="M202" s="1"/>
      <c r="N202" s="1"/>
      <c r="O202" s="1"/>
      <c r="P202" s="1"/>
      <c r="Q202" s="1"/>
      <c r="S202" s="63">
        <v>641</v>
      </c>
    </row>
    <row r="203" spans="2:30">
      <c r="B203" s="125" t="e">
        <f>#REF! &amp;"_"&amp;S202</f>
        <v>#REF!</v>
      </c>
      <c r="C203" s="213"/>
      <c r="D203" s="213"/>
      <c r="E203" s="82"/>
      <c r="F203" s="82"/>
      <c r="G203" s="83"/>
      <c r="H203" s="84"/>
      <c r="I203" s="84"/>
      <c r="J203" s="85"/>
      <c r="K203" s="82" t="str">
        <f t="shared" si="1"/>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formula1>Phase_Injected</formula1>
    </dataValidation>
    <dataValidation type="list" allowBlank="1" showInputMessage="1" showErrorMessage="1" sqref="F204:F562">
      <formula1>Inspection_log</formula1>
    </dataValidation>
    <dataValidation type="decimal" allowBlank="1" showInputMessage="1" showErrorMessage="1" sqref="E10:F10">
      <formula1>0</formula1>
      <formula2>100000000</formula2>
    </dataValidation>
    <dataValidation type="decimal" operator="greaterThanOrEqual" allowBlank="1" showInputMessage="1" showErrorMessage="1" sqref="E9:G9">
      <formula1>0</formula1>
    </dataValidation>
    <dataValidation type="list" allowBlank="1" showInputMessage="1" showErrorMessage="1" sqref="E204:E563">
      <formula1>$P$1:$P$6</formula1>
    </dataValidation>
    <dataValidation type="list" allowBlank="1" showInputMessage="1" sqref="J22:J203">
      <formula1>Primary_Cause</formula1>
    </dataValidation>
    <dataValidation type="list" allowBlank="1" showInputMessage="1" showErrorMessage="1" sqref="E22:E203">
      <formula1>$P$1:$P$5</formula1>
    </dataValidation>
  </dataValidations>
  <pageMargins left="0.75" right="0.75" top="1" bottom="1" header="0.5" footer="0.5"/>
  <pageSetup orientation="portrait" horizontalDpi="4294967294" r:id="rId1"/>
  <headerFooter alignWithMargins="0"/>
  <ignoredErrors>
    <ignoredError sqref="K119:K203" unlockedFormula="1"/>
  </ignoredErrors>
</worksheet>
</file>

<file path=xl/worksheets/sheet3.xml><?xml version="1.0" encoding="utf-8"?>
<worksheet xmlns="http://schemas.openxmlformats.org/spreadsheetml/2006/main" xmlns:r="http://schemas.openxmlformats.org/officeDocument/2006/relationships">
  <sheetPr codeName="Sheet3"/>
  <dimension ref="A1:BT1147"/>
  <sheetViews>
    <sheetView showGridLines="0" workbookViewId="0"/>
  </sheetViews>
  <sheetFormatPr defaultColWidth="9.28515625" defaultRowHeight="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195</v>
      </c>
      <c r="W1" s="88" t="s">
        <v>196</v>
      </c>
      <c r="X1" s="88" t="s">
        <v>197</v>
      </c>
      <c r="Z1" s="88"/>
      <c r="AA1" s="88" t="s">
        <v>198</v>
      </c>
      <c r="AB1" s="88" t="s">
        <v>199</v>
      </c>
      <c r="AC1" s="88" t="str">
        <f>IF('Inspection Details'!J30="","",'Inspection Details'!J30)</f>
        <v>SM</v>
      </c>
      <c r="AD1" s="88">
        <f t="array" ref="AD1">IF(AC1="","",SUM(IF(LEFT($B$32:$B$1033,2)=AC1,1,0)))</f>
        <v>0</v>
      </c>
      <c r="AE1" s="88">
        <f t="array" ref="AE1">IF(AC1="","",SUM(IF(LEFT($B$32:$B$1032,2)=AC1,IF($H$32:$H$1032="ACC",1,0)+IF($H$32:$H$1032="REW",1,0))))</f>
        <v>0</v>
      </c>
      <c r="AF1" s="88" t="s">
        <v>200</v>
      </c>
      <c r="AG1" s="88" t="s">
        <v>162</v>
      </c>
      <c r="AH1" s="88"/>
      <c r="AI1" s="88"/>
      <c r="AJ1" s="88"/>
    </row>
    <row r="2" spans="2:36" ht="31.5" customHeight="1">
      <c r="B2" s="227" t="s">
        <v>201</v>
      </c>
      <c r="C2" s="227"/>
      <c r="D2" s="227"/>
      <c r="E2" s="227"/>
      <c r="F2" s="227"/>
      <c r="G2" s="227"/>
      <c r="H2" s="227"/>
      <c r="I2" s="227"/>
      <c r="J2" s="54"/>
      <c r="K2" s="54"/>
      <c r="L2" s="54"/>
      <c r="M2" s="54"/>
      <c r="O2" s="88" t="s">
        <v>22</v>
      </c>
      <c r="P2" s="88" t="s">
        <v>202</v>
      </c>
      <c r="Q2" s="88" t="s">
        <v>203</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204</v>
      </c>
      <c r="Q3" s="88" t="s">
        <v>204</v>
      </c>
      <c r="R3" s="88" t="s">
        <v>195</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9" t="s">
        <v>205</v>
      </c>
      <c r="C4" s="199"/>
      <c r="D4" s="98"/>
      <c r="E4" s="228" t="str">
        <f>'Inspection Details'!$F$8</f>
        <v>TFTP</v>
      </c>
      <c r="F4" s="228"/>
      <c r="G4" s="228"/>
      <c r="H4" s="98"/>
      <c r="I4" s="98"/>
      <c r="J4" s="54"/>
      <c r="K4" s="54"/>
      <c r="L4" s="54"/>
      <c r="M4" s="54"/>
      <c r="O4" s="88" t="s">
        <v>35</v>
      </c>
      <c r="P4" s="88" t="s">
        <v>206</v>
      </c>
      <c r="Q4" s="88" t="s">
        <v>206</v>
      </c>
      <c r="R4" s="88" t="s">
        <v>196</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1" t="s">
        <v>170</v>
      </c>
      <c r="C5" s="201"/>
      <c r="D5" s="98"/>
      <c r="E5" s="229" t="str">
        <f>'Inspection Details'!$F$10</f>
        <v>Code</v>
      </c>
      <c r="F5" s="229"/>
      <c r="G5" s="229"/>
      <c r="H5" s="98"/>
      <c r="I5" s="98"/>
      <c r="J5" s="54"/>
      <c r="K5" s="54"/>
      <c r="L5" s="54"/>
      <c r="M5" s="54"/>
      <c r="O5" s="88" t="s">
        <v>11</v>
      </c>
      <c r="R5" s="88" t="s">
        <v>197</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33" t="s">
        <v>207</v>
      </c>
      <c r="C6" s="233"/>
      <c r="D6" s="98"/>
      <c r="E6" s="234" t="str">
        <f>'Inspection Details'!$F$24</f>
        <v>NA</v>
      </c>
      <c r="F6" s="235"/>
      <c r="G6" s="235"/>
      <c r="H6" s="98"/>
      <c r="I6" s="99" t="s">
        <v>208</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26" t="s">
        <v>209</v>
      </c>
      <c r="C7" s="226"/>
      <c r="D7" s="226"/>
      <c r="E7" s="226"/>
      <c r="F7" s="226"/>
      <c r="G7" s="226"/>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210</v>
      </c>
      <c r="AH7" s="88"/>
      <c r="AI7" s="88"/>
      <c r="AJ7" s="88"/>
    </row>
    <row r="8" spans="2:36">
      <c r="B8" s="199" t="s">
        <v>211</v>
      </c>
      <c r="C8" s="199"/>
      <c r="D8" s="98"/>
      <c r="E8" s="223"/>
      <c r="F8" s="224"/>
      <c r="G8" s="225"/>
      <c r="H8" s="98"/>
      <c r="I8" s="99" t="s">
        <v>212</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213</v>
      </c>
      <c r="AH8" s="88"/>
      <c r="AI8" s="88"/>
      <c r="AJ8" s="88"/>
    </row>
    <row r="9" spans="2:36" ht="14.25" customHeight="1">
      <c r="B9" s="199" t="s">
        <v>214</v>
      </c>
      <c r="C9" s="199"/>
      <c r="D9" s="98"/>
      <c r="E9" s="230"/>
      <c r="F9" s="231"/>
      <c r="G9" s="232"/>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176</v>
      </c>
      <c r="AH9" s="88"/>
      <c r="AI9" s="88"/>
      <c r="AJ9" s="88"/>
    </row>
    <row r="10" spans="2:36" ht="15.75" customHeight="1">
      <c r="B10" s="199" t="s">
        <v>215</v>
      </c>
      <c r="C10" s="199"/>
      <c r="D10" s="98"/>
      <c r="E10" s="230"/>
      <c r="F10" s="231"/>
      <c r="G10" s="232"/>
      <c r="H10" s="98"/>
      <c r="I10" s="99" t="s">
        <v>216</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217</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178</v>
      </c>
      <c r="AH11" s="88"/>
      <c r="AI11" s="88"/>
      <c r="AJ11" s="88"/>
    </row>
    <row r="12" spans="2:36" ht="17.25" customHeight="1">
      <c r="B12" s="226" t="s">
        <v>201</v>
      </c>
      <c r="C12" s="226"/>
      <c r="D12" s="226"/>
      <c r="E12" s="226"/>
      <c r="F12" s="226"/>
      <c r="G12" s="226"/>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9" t="s">
        <v>211</v>
      </c>
      <c r="C13" s="199"/>
      <c r="D13" s="98"/>
      <c r="E13" s="223"/>
      <c r="F13" s="224"/>
      <c r="G13" s="225"/>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9" t="s">
        <v>218</v>
      </c>
      <c r="C14" s="199"/>
      <c r="D14" s="98"/>
      <c r="E14" s="230"/>
      <c r="F14" s="231"/>
      <c r="G14" s="232"/>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9" t="s">
        <v>215</v>
      </c>
      <c r="C15" s="199"/>
      <c r="D15" s="98"/>
      <c r="E15" s="241"/>
      <c r="F15" s="242"/>
      <c r="G15" s="243"/>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7" t="s">
        <v>219</v>
      </c>
      <c r="C17" s="248"/>
      <c r="D17" s="98"/>
      <c r="E17" s="249" t="s">
        <v>220</v>
      </c>
      <c r="F17" s="250"/>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6" t="s">
        <v>221</v>
      </c>
      <c r="C19" s="236"/>
      <c r="D19" s="98"/>
      <c r="E19" s="236" t="s">
        <v>221</v>
      </c>
      <c r="F19" s="236"/>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6" t="s">
        <v>222</v>
      </c>
      <c r="C20" s="246"/>
      <c r="D20" s="98"/>
      <c r="E20" s="236" t="s">
        <v>223</v>
      </c>
      <c r="F20" s="236"/>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6" t="s">
        <v>224</v>
      </c>
      <c r="C21" s="246"/>
      <c r="D21" s="98"/>
      <c r="E21" s="236" t="s">
        <v>224</v>
      </c>
      <c r="F21" s="236"/>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6" t="s">
        <v>225</v>
      </c>
      <c r="C22" s="246"/>
      <c r="D22" s="98"/>
      <c r="E22" s="236" t="s">
        <v>225</v>
      </c>
      <c r="F22" s="236"/>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4"/>
      <c r="C23" s="245"/>
      <c r="D23" s="54"/>
      <c r="E23" s="244"/>
      <c r="F23" s="244"/>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5.75"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19" t="s">
        <v>186</v>
      </c>
      <c r="C30" s="237" t="s">
        <v>226</v>
      </c>
      <c r="D30" s="238"/>
      <c r="E30" s="219" t="s">
        <v>188</v>
      </c>
      <c r="F30" s="219" t="s">
        <v>227</v>
      </c>
      <c r="G30" s="219" t="s">
        <v>228</v>
      </c>
      <c r="H30" s="219" t="s">
        <v>229</v>
      </c>
      <c r="I30" s="219" t="s">
        <v>191</v>
      </c>
      <c r="J30" s="219" t="s">
        <v>192</v>
      </c>
      <c r="K30" s="219" t="s">
        <v>193</v>
      </c>
      <c r="L30" s="219" t="s">
        <v>230</v>
      </c>
      <c r="M30" s="219" t="s">
        <v>231</v>
      </c>
      <c r="N30" s="219" t="s">
        <v>232</v>
      </c>
      <c r="O30" s="219" t="s">
        <v>233</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20"/>
      <c r="C31" s="221"/>
      <c r="D31" s="239"/>
      <c r="E31" s="220"/>
      <c r="F31" s="220"/>
      <c r="G31" s="220"/>
      <c r="H31" s="220"/>
      <c r="I31" s="220"/>
      <c r="J31" s="220"/>
      <c r="K31" s="220"/>
      <c r="L31" s="220"/>
      <c r="M31" s="220"/>
      <c r="N31" s="220"/>
      <c r="O31" s="220"/>
      <c r="Z31" s="49"/>
      <c r="AA31" s="49"/>
      <c r="AB31" s="49"/>
      <c r="AC31" s="88" t="str">
        <f>IF('Inspection Details'!J60="","",'Inspection Details'!J60)</f>
        <v/>
      </c>
      <c r="AD31" s="88"/>
      <c r="AE31" s="88"/>
      <c r="AF31" s="88"/>
      <c r="AG31" s="49"/>
      <c r="AH31" s="49"/>
      <c r="AI31" s="49"/>
      <c r="AJ31" s="49"/>
    </row>
    <row r="32" spans="2:36">
      <c r="B32" s="100"/>
      <c r="C32" s="251"/>
      <c r="D32" s="251"/>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40"/>
      <c r="D33" s="240"/>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40"/>
      <c r="D34" s="240"/>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40"/>
      <c r="D35" s="240"/>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40"/>
      <c r="D36" s="240"/>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40"/>
      <c r="D37" s="240"/>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40"/>
      <c r="D38" s="240"/>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40"/>
      <c r="D39" s="240"/>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40"/>
      <c r="D40" s="240"/>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40"/>
      <c r="D41" s="240"/>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40"/>
      <c r="D42" s="240"/>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40"/>
      <c r="D43" s="240"/>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40"/>
      <c r="D44" s="240"/>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40"/>
      <c r="D45" s="240"/>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40"/>
      <c r="D46" s="240"/>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40"/>
      <c r="D47" s="240"/>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40"/>
      <c r="D48" s="240"/>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40"/>
      <c r="D49" s="240"/>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40"/>
      <c r="D50" s="240"/>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40"/>
      <c r="D51" s="240"/>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40"/>
      <c r="D52" s="240"/>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40"/>
      <c r="D53" s="240"/>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40"/>
      <c r="D54" s="240"/>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40"/>
      <c r="D55" s="240"/>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40"/>
      <c r="D56" s="240"/>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40"/>
      <c r="D57" s="240"/>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40"/>
      <c r="D58" s="240"/>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40"/>
      <c r="D59" s="240"/>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40"/>
      <c r="D60" s="240"/>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40"/>
      <c r="D61" s="240"/>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40"/>
      <c r="D62" s="240"/>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40"/>
      <c r="D63" s="240"/>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40"/>
      <c r="D64" s="240"/>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40"/>
      <c r="D65" s="240"/>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40"/>
      <c r="D66" s="240"/>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40"/>
      <c r="D67" s="240"/>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40"/>
      <c r="D68" s="240"/>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40"/>
      <c r="D69" s="240"/>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40"/>
      <c r="D70" s="240"/>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40"/>
      <c r="D71" s="240"/>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40"/>
      <c r="D72" s="240"/>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40"/>
      <c r="D73" s="240"/>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40"/>
      <c r="D74" s="240"/>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40"/>
      <c r="D75" s="240"/>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40"/>
      <c r="D76" s="240"/>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40"/>
      <c r="D77" s="240"/>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40"/>
      <c r="D78" s="240"/>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40"/>
      <c r="D79" s="240"/>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40"/>
      <c r="D80" s="240"/>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40"/>
      <c r="D81" s="240"/>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40"/>
      <c r="D82" s="240"/>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40"/>
      <c r="D83" s="240"/>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40"/>
      <c r="D84" s="240"/>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40"/>
      <c r="D85" s="240"/>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40"/>
      <c r="D86" s="240"/>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40"/>
      <c r="D87" s="240"/>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40"/>
      <c r="D88" s="240"/>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40"/>
      <c r="D89" s="240"/>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40"/>
      <c r="D90" s="240"/>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40"/>
      <c r="D91" s="240"/>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40"/>
      <c r="D92" s="240"/>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40"/>
      <c r="D93" s="240"/>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40"/>
      <c r="D94" s="240"/>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40"/>
      <c r="D95" s="240"/>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40"/>
      <c r="D96" s="240"/>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40"/>
      <c r="D97" s="240"/>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40"/>
      <c r="D98" s="240"/>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40"/>
      <c r="D99" s="240"/>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40"/>
      <c r="D100" s="240"/>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40"/>
      <c r="D101" s="240"/>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40"/>
      <c r="D102" s="240"/>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40"/>
      <c r="D103" s="240"/>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40"/>
      <c r="D104" s="240"/>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40"/>
      <c r="D105" s="240"/>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40"/>
      <c r="D106" s="240"/>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40"/>
      <c r="D107" s="240"/>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40"/>
      <c r="D108" s="240"/>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40"/>
      <c r="D109" s="240"/>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40"/>
      <c r="D110" s="240"/>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40"/>
      <c r="D111" s="240"/>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40"/>
      <c r="D112" s="240"/>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40"/>
      <c r="D113" s="240"/>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40"/>
      <c r="D114" s="240"/>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40"/>
      <c r="D115" s="240"/>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40"/>
      <c r="D116" s="240"/>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40"/>
      <c r="D117" s="240"/>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40"/>
      <c r="D118" s="240"/>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40"/>
      <c r="D119" s="240"/>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40"/>
      <c r="D120" s="240"/>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40"/>
      <c r="D121" s="240"/>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40"/>
      <c r="D122" s="240"/>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40"/>
      <c r="D123" s="240"/>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40"/>
      <c r="D124" s="240"/>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40"/>
      <c r="D125" s="240"/>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40"/>
      <c r="D126" s="240"/>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40"/>
      <c r="D127" s="240"/>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40"/>
      <c r="D128" s="240"/>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40"/>
      <c r="D129" s="240"/>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40"/>
      <c r="D130" s="240"/>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40"/>
      <c r="D131" s="240"/>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40"/>
      <c r="D132" s="240"/>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40"/>
      <c r="D133" s="240"/>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40"/>
      <c r="D134" s="240"/>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40"/>
      <c r="D135" s="240"/>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40"/>
      <c r="D136" s="240"/>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40"/>
      <c r="D137" s="240"/>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40"/>
      <c r="D138" s="240"/>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40"/>
      <c r="D139" s="240"/>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40"/>
      <c r="D140" s="240"/>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40"/>
      <c r="D141" s="240"/>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40"/>
      <c r="D142" s="240"/>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40"/>
      <c r="D143" s="240"/>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40"/>
      <c r="D144" s="240"/>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40"/>
      <c r="D145" s="240"/>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40"/>
      <c r="D146" s="240"/>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40"/>
      <c r="D147" s="240"/>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40"/>
      <c r="D148" s="240"/>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40"/>
      <c r="D149" s="240"/>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40"/>
      <c r="D150" s="240"/>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40"/>
      <c r="D151" s="240"/>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40"/>
      <c r="D152" s="240"/>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40"/>
      <c r="D153" s="240"/>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40"/>
      <c r="D154" s="240"/>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40"/>
      <c r="D155" s="240"/>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40"/>
      <c r="D156" s="240"/>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40"/>
      <c r="D157" s="240"/>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40"/>
      <c r="D158" s="240"/>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40"/>
      <c r="D159" s="240"/>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40"/>
      <c r="D160" s="240"/>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40"/>
      <c r="D161" s="240"/>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40"/>
      <c r="D162" s="240"/>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40"/>
      <c r="D163" s="240"/>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40"/>
      <c r="D164" s="240"/>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40"/>
      <c r="D165" s="240"/>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40"/>
      <c r="D166" s="240"/>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40"/>
      <c r="D167" s="240"/>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40"/>
      <c r="D168" s="240"/>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40"/>
      <c r="D169" s="240"/>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40"/>
      <c r="D170" s="240"/>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40"/>
      <c r="D171" s="240"/>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40"/>
      <c r="D172" s="240"/>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40"/>
      <c r="D173" s="240"/>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40"/>
      <c r="D174" s="240"/>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40"/>
      <c r="D175" s="240"/>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40"/>
      <c r="D176" s="240"/>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40"/>
      <c r="D177" s="240"/>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40"/>
      <c r="D178" s="240"/>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40"/>
      <c r="D179" s="240"/>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40"/>
      <c r="D180" s="240"/>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40"/>
      <c r="D181" s="240"/>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40"/>
      <c r="D182" s="240"/>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40"/>
      <c r="D183" s="240"/>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40"/>
      <c r="D184" s="240"/>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40"/>
      <c r="D185" s="240"/>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40"/>
      <c r="D186" s="240"/>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40"/>
      <c r="D187" s="240"/>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40"/>
      <c r="D188" s="240"/>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40"/>
      <c r="D189" s="240"/>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40"/>
      <c r="D190" s="240"/>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40"/>
      <c r="D191" s="240"/>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40"/>
      <c r="D192" s="240"/>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40"/>
      <c r="D193" s="240"/>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40"/>
      <c r="D194" s="240"/>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40"/>
      <c r="D195" s="240"/>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40"/>
      <c r="D196" s="240"/>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40"/>
      <c r="D197" s="240"/>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40"/>
      <c r="D198" s="240"/>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40"/>
      <c r="D199" s="240"/>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40"/>
      <c r="D200" s="240"/>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40"/>
      <c r="D201" s="240"/>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40"/>
      <c r="D202" s="240"/>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40"/>
      <c r="D203" s="240"/>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40"/>
      <c r="D204" s="240"/>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40"/>
      <c r="D205" s="240"/>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40"/>
      <c r="D206" s="240"/>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40"/>
      <c r="D207" s="240"/>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40"/>
      <c r="D208" s="240"/>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40"/>
      <c r="D209" s="240"/>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40"/>
      <c r="D210" s="240"/>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40"/>
      <c r="D211" s="240"/>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40"/>
      <c r="D212" s="240"/>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40"/>
      <c r="D213" s="240"/>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40"/>
      <c r="D214" s="240"/>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40"/>
      <c r="D215" s="240"/>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40"/>
      <c r="D216" s="240"/>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40"/>
      <c r="D217" s="240"/>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40"/>
      <c r="D218" s="240"/>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40"/>
      <c r="D219" s="240"/>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40"/>
      <c r="D220" s="240"/>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40"/>
      <c r="D221" s="240"/>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40"/>
      <c r="D222" s="240"/>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40"/>
      <c r="D223" s="240"/>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40"/>
      <c r="D224" s="240"/>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40"/>
      <c r="D225" s="240"/>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40"/>
      <c r="D226" s="240"/>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40"/>
      <c r="D227" s="240"/>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40"/>
      <c r="D228" s="240"/>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40"/>
      <c r="D229" s="240"/>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40"/>
      <c r="D230" s="240"/>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40"/>
      <c r="D231" s="240"/>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40"/>
      <c r="D232" s="240"/>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40"/>
      <c r="D233" s="240"/>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40"/>
      <c r="D234" s="240"/>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40"/>
      <c r="D235" s="240"/>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40"/>
      <c r="D236" s="240"/>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40"/>
      <c r="D237" s="240"/>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40"/>
      <c r="D238" s="240"/>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40"/>
      <c r="D239" s="240"/>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40"/>
      <c r="D240" s="240"/>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40"/>
      <c r="D241" s="240"/>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40"/>
      <c r="D242" s="240"/>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40"/>
      <c r="D243" s="240"/>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40"/>
      <c r="D244" s="240"/>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40"/>
      <c r="D245" s="240"/>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40"/>
      <c r="D246" s="240"/>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40"/>
      <c r="D247" s="240"/>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40"/>
      <c r="D248" s="240"/>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40"/>
      <c r="D249" s="240"/>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40"/>
      <c r="D250" s="240"/>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40"/>
      <c r="D251" s="240"/>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40"/>
      <c r="D252" s="240"/>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40"/>
      <c r="D253" s="240"/>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40"/>
      <c r="D254" s="240"/>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40"/>
      <c r="D255" s="240"/>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40"/>
      <c r="D256" s="240"/>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40"/>
      <c r="D257" s="240"/>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40"/>
      <c r="D258" s="240"/>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40"/>
      <c r="D259" s="240"/>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40"/>
      <c r="D260" s="240"/>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40"/>
      <c r="D261" s="240"/>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40"/>
      <c r="D262" s="240"/>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40"/>
      <c r="D263" s="240"/>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40"/>
      <c r="D264" s="240"/>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40"/>
      <c r="D265" s="240"/>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40"/>
      <c r="D266" s="240"/>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40"/>
      <c r="D267" s="240"/>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40"/>
      <c r="D268" s="240"/>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40"/>
      <c r="D269" s="240"/>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40"/>
      <c r="D270" s="240"/>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40"/>
      <c r="D271" s="240"/>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40"/>
      <c r="D272" s="240"/>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40"/>
      <c r="D273" s="240"/>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40"/>
      <c r="D274" s="240"/>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40"/>
      <c r="D275" s="240"/>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40"/>
      <c r="D276" s="240"/>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40"/>
      <c r="D277" s="240"/>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40"/>
      <c r="D278" s="240"/>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40"/>
      <c r="D279" s="240"/>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40"/>
      <c r="D280" s="240"/>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40"/>
      <c r="D281" s="240"/>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40"/>
      <c r="D282" s="240"/>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40"/>
      <c r="D283" s="240"/>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40"/>
      <c r="D284" s="240"/>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40"/>
      <c r="D285" s="240"/>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40"/>
      <c r="D286" s="240"/>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40"/>
      <c r="D287" s="240"/>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40"/>
      <c r="D288" s="240"/>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40"/>
      <c r="D289" s="240"/>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40"/>
      <c r="D290" s="240"/>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40"/>
      <c r="D291" s="240"/>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40"/>
      <c r="D292" s="240"/>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40"/>
      <c r="D293" s="240"/>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40"/>
      <c r="D294" s="240"/>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40"/>
      <c r="D295" s="240"/>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40"/>
      <c r="D296" s="240"/>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40"/>
      <c r="D297" s="240"/>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40"/>
      <c r="D298" s="240"/>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40"/>
      <c r="D299" s="240"/>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40"/>
      <c r="D300" s="240"/>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40"/>
      <c r="D301" s="240"/>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40"/>
      <c r="D302" s="240"/>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40"/>
      <c r="D303" s="240"/>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40"/>
      <c r="D304" s="240"/>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40"/>
      <c r="D305" s="240"/>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40"/>
      <c r="D306" s="240"/>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40"/>
      <c r="D307" s="240"/>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40"/>
      <c r="D308" s="240"/>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40"/>
      <c r="D309" s="240"/>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40"/>
      <c r="D310" s="240"/>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40"/>
      <c r="D311" s="240"/>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40"/>
      <c r="D312" s="240"/>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40"/>
      <c r="D313" s="240"/>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40"/>
      <c r="D314" s="240"/>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40"/>
      <c r="D315" s="240"/>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40"/>
      <c r="D316" s="240"/>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40"/>
      <c r="D317" s="240"/>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40"/>
      <c r="D318" s="240"/>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40"/>
      <c r="D319" s="240"/>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40"/>
      <c r="D320" s="240"/>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40"/>
      <c r="D321" s="240"/>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40"/>
      <c r="D322" s="240"/>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40"/>
      <c r="D323" s="240"/>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40"/>
      <c r="D324" s="240"/>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40"/>
      <c r="D325" s="240"/>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40"/>
      <c r="D326" s="240"/>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40"/>
      <c r="D327" s="240"/>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40"/>
      <c r="D328" s="240"/>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40"/>
      <c r="D329" s="240"/>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40"/>
      <c r="D330" s="240"/>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40"/>
      <c r="D331" s="240"/>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40"/>
      <c r="D332" s="240"/>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40"/>
      <c r="D333" s="240"/>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40"/>
      <c r="D334" s="240"/>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40"/>
      <c r="D335" s="240"/>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40"/>
      <c r="D336" s="240"/>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40"/>
      <c r="D337" s="240"/>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40"/>
      <c r="D338" s="240"/>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40"/>
      <c r="D339" s="240"/>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40"/>
      <c r="D340" s="240"/>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40"/>
      <c r="D341" s="240"/>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40"/>
      <c r="D342" s="240"/>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40"/>
      <c r="D343" s="240"/>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40"/>
      <c r="D344" s="240"/>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40"/>
      <c r="D345" s="240"/>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40"/>
      <c r="D346" s="240"/>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40"/>
      <c r="D347" s="240"/>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40"/>
      <c r="D348" s="240"/>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40"/>
      <c r="D349" s="240"/>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40"/>
      <c r="D350" s="240"/>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40"/>
      <c r="D351" s="240"/>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40"/>
      <c r="D352" s="240"/>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40"/>
      <c r="D353" s="240"/>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40"/>
      <c r="D354" s="240"/>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40"/>
      <c r="D355" s="240"/>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40"/>
      <c r="D356" s="240"/>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40"/>
      <c r="D357" s="240"/>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40"/>
      <c r="D358" s="240"/>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40"/>
      <c r="D359" s="240"/>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40"/>
      <c r="D360" s="240"/>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40"/>
      <c r="D361" s="240"/>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40"/>
      <c r="D362" s="240"/>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40"/>
      <c r="D363" s="240"/>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40"/>
      <c r="D364" s="240"/>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40"/>
      <c r="D365" s="240"/>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40"/>
      <c r="D366" s="240"/>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40"/>
      <c r="D367" s="240"/>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40"/>
      <c r="D368" s="240"/>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40"/>
      <c r="D369" s="240"/>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40"/>
      <c r="D370" s="240"/>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40"/>
      <c r="D371" s="240"/>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40"/>
      <c r="D372" s="240"/>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40"/>
      <c r="D373" s="240"/>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40"/>
      <c r="D374" s="240"/>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40"/>
      <c r="D375" s="240"/>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40"/>
      <c r="D376" s="240"/>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40"/>
      <c r="D377" s="240"/>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40"/>
      <c r="D378" s="240"/>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40"/>
      <c r="D379" s="240"/>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40"/>
      <c r="D380" s="240"/>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40"/>
      <c r="D381" s="240"/>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40"/>
      <c r="D382" s="240"/>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40"/>
      <c r="D383" s="240"/>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40"/>
      <c r="D384" s="240"/>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40"/>
      <c r="D385" s="240"/>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40"/>
      <c r="D386" s="240"/>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40"/>
      <c r="D387" s="240"/>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40"/>
      <c r="D388" s="240"/>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40"/>
      <c r="D389" s="240"/>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40"/>
      <c r="D390" s="240"/>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40"/>
      <c r="D391" s="240"/>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40"/>
      <c r="D392" s="240"/>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40"/>
      <c r="D393" s="240"/>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40"/>
      <c r="D394" s="240"/>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40"/>
      <c r="D395" s="240"/>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40"/>
      <c r="D396" s="240"/>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40"/>
      <c r="D397" s="240"/>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40"/>
      <c r="D398" s="240"/>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40"/>
      <c r="D399" s="240"/>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40"/>
      <c r="D400" s="240"/>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40"/>
      <c r="D401" s="240"/>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40"/>
      <c r="D402" s="240"/>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40"/>
      <c r="D403" s="240"/>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40"/>
      <c r="D404" s="240"/>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40"/>
      <c r="D405" s="240"/>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40"/>
      <c r="D406" s="240"/>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40"/>
      <c r="D407" s="240"/>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40"/>
      <c r="D408" s="240"/>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40"/>
      <c r="D409" s="240"/>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40"/>
      <c r="D410" s="240"/>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40"/>
      <c r="D411" s="240"/>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40"/>
      <c r="D412" s="240"/>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40"/>
      <c r="D413" s="240"/>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40"/>
      <c r="D414" s="240"/>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40"/>
      <c r="D415" s="240"/>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40"/>
      <c r="D416" s="240"/>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40"/>
      <c r="D417" s="240"/>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40"/>
      <c r="D418" s="240"/>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40"/>
      <c r="D419" s="240"/>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40"/>
      <c r="D420" s="240"/>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40"/>
      <c r="D421" s="240"/>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40"/>
      <c r="D422" s="240"/>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40"/>
      <c r="D423" s="240"/>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40"/>
      <c r="D424" s="240"/>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40"/>
      <c r="D425" s="240"/>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40"/>
      <c r="D426" s="240"/>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40"/>
      <c r="D427" s="240"/>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40"/>
      <c r="D428" s="240"/>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40"/>
      <c r="D429" s="240"/>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40"/>
      <c r="D430" s="240"/>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40"/>
      <c r="D431" s="240"/>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40"/>
      <c r="D432" s="240"/>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40"/>
      <c r="D433" s="240"/>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40"/>
      <c r="D434" s="240"/>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40"/>
      <c r="D435" s="240"/>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40"/>
      <c r="D436" s="240"/>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40"/>
      <c r="D437" s="240"/>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40"/>
      <c r="D438" s="240"/>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40"/>
      <c r="D439" s="240"/>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40"/>
      <c r="D440" s="240"/>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40"/>
      <c r="D441" s="240"/>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40"/>
      <c r="D442" s="240"/>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40"/>
      <c r="D443" s="240"/>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40"/>
      <c r="D444" s="240"/>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40"/>
      <c r="D445" s="240"/>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40"/>
      <c r="D446" s="240"/>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40"/>
      <c r="D447" s="240"/>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40"/>
      <c r="D448" s="240"/>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40"/>
      <c r="D449" s="240"/>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40"/>
      <c r="D450" s="240"/>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40"/>
      <c r="D451" s="240"/>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40"/>
      <c r="D452" s="240"/>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40"/>
      <c r="D453" s="240"/>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40"/>
      <c r="D454" s="240"/>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40"/>
      <c r="D455" s="240"/>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40"/>
      <c r="D456" s="240"/>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40"/>
      <c r="D457" s="240"/>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40"/>
      <c r="D458" s="240"/>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40"/>
      <c r="D459" s="240"/>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40"/>
      <c r="D460" s="240"/>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40"/>
      <c r="D461" s="240"/>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40"/>
      <c r="D462" s="240"/>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40"/>
      <c r="D463" s="240"/>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40"/>
      <c r="D464" s="240"/>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40"/>
      <c r="D465" s="240"/>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40"/>
      <c r="D466" s="240"/>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40"/>
      <c r="D467" s="240"/>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40"/>
      <c r="D468" s="240"/>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40"/>
      <c r="D469" s="240"/>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40"/>
      <c r="D470" s="240"/>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40"/>
      <c r="D471" s="240"/>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40"/>
      <c r="D472" s="240"/>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40"/>
      <c r="D473" s="240"/>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40"/>
      <c r="D474" s="240"/>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40"/>
      <c r="D475" s="240"/>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40"/>
      <c r="D476" s="240"/>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40"/>
      <c r="D477" s="240"/>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40"/>
      <c r="D478" s="240"/>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40"/>
      <c r="D479" s="240"/>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40"/>
      <c r="D480" s="240"/>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40"/>
      <c r="D481" s="240"/>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40"/>
      <c r="D482" s="240"/>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40"/>
      <c r="D483" s="240"/>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40"/>
      <c r="D484" s="240"/>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40"/>
      <c r="D485" s="240"/>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40"/>
      <c r="D486" s="240"/>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40"/>
      <c r="D487" s="240"/>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40"/>
      <c r="D488" s="240"/>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40"/>
      <c r="D489" s="240"/>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40"/>
      <c r="D490" s="240"/>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40"/>
      <c r="D491" s="240"/>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40"/>
      <c r="D492" s="240"/>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40"/>
      <c r="D493" s="240"/>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40"/>
      <c r="D494" s="240"/>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40"/>
      <c r="D495" s="240"/>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40"/>
      <c r="D496" s="240"/>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40"/>
      <c r="D497" s="240"/>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40"/>
      <c r="D498" s="240"/>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40"/>
      <c r="D499" s="240"/>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40"/>
      <c r="D500" s="240"/>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40"/>
      <c r="D501" s="240"/>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40"/>
      <c r="D502" s="240"/>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40"/>
      <c r="D503" s="240"/>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40"/>
      <c r="D504" s="240"/>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40"/>
      <c r="D505" s="240"/>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40"/>
      <c r="D506" s="240"/>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40"/>
      <c r="D507" s="240"/>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40"/>
      <c r="D508" s="240"/>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40"/>
      <c r="D509" s="240"/>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40"/>
      <c r="D510" s="240"/>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40"/>
      <c r="D511" s="240"/>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40"/>
      <c r="D512" s="240"/>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40"/>
      <c r="D513" s="240"/>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40"/>
      <c r="D514" s="240"/>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40"/>
      <c r="D515" s="240"/>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40"/>
      <c r="D516" s="240"/>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40"/>
      <c r="D517" s="240"/>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40"/>
      <c r="D518" s="240"/>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40"/>
      <c r="D519" s="240"/>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40"/>
      <c r="D520" s="240"/>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40"/>
      <c r="D521" s="240"/>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40"/>
      <c r="D522" s="240"/>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40"/>
      <c r="D523" s="240"/>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40"/>
      <c r="D524" s="240"/>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40"/>
      <c r="D525" s="240"/>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40"/>
      <c r="D526" s="240"/>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40"/>
      <c r="D527" s="240"/>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40"/>
      <c r="D528" s="240"/>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40"/>
      <c r="D529" s="240"/>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40"/>
      <c r="D530" s="240"/>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40"/>
      <c r="D531" s="240"/>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40"/>
      <c r="D532" s="240"/>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40"/>
      <c r="D533" s="240"/>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formula1>Inspection_log</formula1>
    </dataValidation>
    <dataValidation type="list" allowBlank="1" showInputMessage="1" showErrorMessage="1" sqref="E9:G9">
      <formula1>"Meeting, No Meeting, Postpone, "</formula1>
    </dataValidation>
    <dataValidation type="list" allowBlank="1" showInputMessage="1" showErrorMessage="1" sqref="E14:G14">
      <formula1>"Release, Moderator follow-up, Re-inspecting, Postpone, "</formula1>
    </dataValidation>
    <dataValidation type="date" operator="greaterThan" allowBlank="1" showInputMessage="1" showErrorMessage="1" sqref="E8:G8 E13:G13">
      <formula1>32874</formula1>
    </dataValidation>
    <dataValidation type="list" allowBlank="1" showInputMessage="1" showErrorMessage="1" sqref="F32:F533">
      <formula1>Phase_Injected</formula1>
    </dataValidation>
    <dataValidation type="whole" allowBlank="1" showInputMessage="1" showErrorMessage="1" sqref="H17">
      <formula1>0</formula1>
      <formula2>50</formula2>
    </dataValidation>
    <dataValidation type="list" allowBlank="1" showInputMessage="1" showErrorMessage="1" sqref="G32:G533">
      <formula1>$P$1:$P$4</formula1>
    </dataValidation>
    <dataValidation type="list" allowBlank="1" showInputMessage="1" showErrorMessage="1" sqref="H32:H533">
      <formula1>$Q$1:$Q$4</formula1>
    </dataValidation>
    <dataValidation type="list" allowBlank="1" showInputMessage="1" showErrorMessage="1" sqref="N32:N533">
      <formula1>"Fix, Not Fix"</formula1>
    </dataValidation>
    <dataValidation type="list" allowBlank="1" showInputMessage="1" sqref="K32:K533">
      <formula1>Primary_Cause</formula1>
    </dataValidation>
    <dataValidation type="list" allowBlank="1" showInputMessage="1" showErrorMessage="1" sqref="E32:E533">
      <formula1>$R$1:$R$5</formula1>
    </dataValidation>
    <dataValidation type="list" allowBlank="1" showInputMessage="1" showErrorMessage="1" sqref="M32:M533">
      <formula1>"Current Rel, Previous Rel"</formula1>
    </dataValidation>
    <dataValidation type="list" allowBlank="1" showInputMessage="1" showErrorMessage="1" sqref="O32:O533">
      <formula1>"ACC, REJ"</formula1>
    </dataValidation>
  </dataValidations>
  <pageMargins left="0.75" right="0.75" top="1" bottom="1" header="0.5" footer="0.5"/>
  <pageSetup orientation="portrait" horizontalDpi="4294967294"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7"/>
  <dimension ref="A1:D48"/>
  <sheetViews>
    <sheetView workbookViewId="0">
      <selection sqref="A1:A2"/>
    </sheetView>
  </sheetViews>
  <sheetFormatPr defaultColWidth="9.28515625" defaultRowHeight="12.75" outlineLevelRow="1"/>
  <cols>
    <col min="1" max="1" width="9.28515625" style="11"/>
    <col min="2" max="2" width="31.5703125" style="11" customWidth="1"/>
    <col min="3" max="3" width="90.7109375" style="11" customWidth="1"/>
    <col min="4" max="16384" width="9.28515625" style="11"/>
  </cols>
  <sheetData>
    <row r="1" spans="1:3" ht="19.5" customHeight="1">
      <c r="A1" s="254" t="s">
        <v>234</v>
      </c>
      <c r="B1" s="9"/>
      <c r="C1" s="10" t="s">
        <v>235</v>
      </c>
    </row>
    <row r="2" spans="1:3" ht="21" customHeight="1" thickBot="1">
      <c r="A2" s="255"/>
      <c r="B2" s="12"/>
      <c r="C2" s="10" t="s">
        <v>236</v>
      </c>
    </row>
    <row r="3" spans="1:3" ht="13.5" thickBot="1">
      <c r="A3" s="13"/>
      <c r="B3" s="14"/>
      <c r="C3" s="15"/>
    </row>
    <row r="4" spans="1:3" ht="13.5" thickBot="1">
      <c r="A4" s="16" t="s">
        <v>237</v>
      </c>
      <c r="B4" s="17" t="s">
        <v>238</v>
      </c>
      <c r="C4" s="18"/>
    </row>
    <row r="5" spans="1:3" ht="13.5" thickBot="1">
      <c r="A5" s="13"/>
      <c r="B5" s="19" t="s">
        <v>239</v>
      </c>
      <c r="C5" s="20" t="s">
        <v>240</v>
      </c>
    </row>
    <row r="6" spans="1:3">
      <c r="A6" s="253"/>
      <c r="B6" s="21" t="s">
        <v>25</v>
      </c>
      <c r="C6" s="22" t="s">
        <v>241</v>
      </c>
    </row>
    <row r="7" spans="1:3" ht="33.75">
      <c r="A7" s="253"/>
      <c r="B7" s="23" t="s">
        <v>242</v>
      </c>
      <c r="C7" s="24" t="s">
        <v>243</v>
      </c>
    </row>
    <row r="8" spans="1:3" ht="33.75">
      <c r="A8" s="253"/>
      <c r="B8" s="23" t="s">
        <v>244</v>
      </c>
      <c r="C8" s="24" t="s">
        <v>245</v>
      </c>
    </row>
    <row r="9" spans="1:3" ht="23.25" thickBot="1">
      <c r="A9" s="253"/>
      <c r="B9" s="23" t="s">
        <v>246</v>
      </c>
      <c r="C9" s="24" t="s">
        <v>247</v>
      </c>
    </row>
    <row r="10" spans="1:3" ht="13.5" thickBot="1">
      <c r="A10" s="30"/>
      <c r="B10" s="31"/>
      <c r="C10" s="32"/>
    </row>
    <row r="11" spans="1:3" ht="13.5" thickBot="1">
      <c r="A11" s="16" t="s">
        <v>237</v>
      </c>
      <c r="B11" s="17" t="s">
        <v>11</v>
      </c>
      <c r="C11" s="18"/>
    </row>
    <row r="12" spans="1:3" ht="13.5" outlineLevel="1" thickBot="1">
      <c r="A12" s="13"/>
      <c r="B12" s="19" t="s">
        <v>239</v>
      </c>
      <c r="C12" s="20" t="s">
        <v>240</v>
      </c>
    </row>
    <row r="13" spans="1:3" ht="22.5" outlineLevel="1">
      <c r="A13" s="253"/>
      <c r="B13" s="25" t="s">
        <v>248</v>
      </c>
      <c r="C13" s="26" t="s">
        <v>249</v>
      </c>
    </row>
    <row r="14" spans="1:3" ht="22.5" outlineLevel="1">
      <c r="A14" s="253"/>
      <c r="B14" s="23" t="s">
        <v>250</v>
      </c>
      <c r="C14" s="27" t="s">
        <v>251</v>
      </c>
    </row>
    <row r="15" spans="1:3" outlineLevel="1">
      <c r="A15" s="253"/>
      <c r="B15" s="28" t="s">
        <v>25</v>
      </c>
      <c r="C15" s="29" t="s">
        <v>252</v>
      </c>
    </row>
    <row r="16" spans="1:3" outlineLevel="1">
      <c r="A16" s="253"/>
      <c r="B16" s="28" t="s">
        <v>242</v>
      </c>
      <c r="C16" s="29" t="s">
        <v>253</v>
      </c>
    </row>
    <row r="17" spans="1:3" ht="25.5" outlineLevel="1">
      <c r="A17" s="253"/>
      <c r="B17" s="28" t="s">
        <v>244</v>
      </c>
      <c r="C17" s="29" t="s">
        <v>253</v>
      </c>
    </row>
    <row r="18" spans="1:3" outlineLevel="1">
      <c r="A18" s="253"/>
      <c r="B18" s="28" t="s">
        <v>246</v>
      </c>
      <c r="C18" s="29" t="s">
        <v>253</v>
      </c>
    </row>
    <row r="19" spans="1:3" ht="13.5" thickBot="1">
      <c r="A19" s="252"/>
      <c r="B19" s="252"/>
      <c r="C19" s="252"/>
    </row>
    <row r="20" spans="1:3" ht="13.5" thickBot="1">
      <c r="A20" s="16" t="s">
        <v>237</v>
      </c>
      <c r="B20" s="17" t="s">
        <v>12</v>
      </c>
      <c r="C20" s="18"/>
    </row>
    <row r="21" spans="1:3" ht="13.5" outlineLevel="1" thickBot="1">
      <c r="A21" s="33"/>
      <c r="B21" s="19" t="s">
        <v>239</v>
      </c>
      <c r="C21" s="20" t="s">
        <v>240</v>
      </c>
    </row>
    <row r="22" spans="1:3" ht="22.5" outlineLevel="1">
      <c r="A22" s="13"/>
      <c r="B22" s="21" t="s">
        <v>254</v>
      </c>
      <c r="C22" s="34" t="s">
        <v>255</v>
      </c>
    </row>
    <row r="23" spans="1:3" ht="33.75" outlineLevel="1">
      <c r="A23" s="13"/>
      <c r="B23" s="23" t="s">
        <v>166</v>
      </c>
      <c r="C23" s="27" t="s">
        <v>256</v>
      </c>
    </row>
    <row r="24" spans="1:3" ht="33.75" outlineLevel="1">
      <c r="A24" s="13"/>
      <c r="B24" s="23" t="s">
        <v>257</v>
      </c>
      <c r="C24" s="27" t="s">
        <v>258</v>
      </c>
    </row>
    <row r="25" spans="1:3" ht="33.75" outlineLevel="1">
      <c r="A25" s="13"/>
      <c r="B25" s="23" t="s">
        <v>259</v>
      </c>
      <c r="C25" s="27" t="s">
        <v>260</v>
      </c>
    </row>
    <row r="26" spans="1:3" ht="33.75" outlineLevel="1">
      <c r="A26" s="13"/>
      <c r="B26" s="23" t="s">
        <v>261</v>
      </c>
      <c r="C26" s="27" t="s">
        <v>262</v>
      </c>
    </row>
    <row r="27" spans="1:3" outlineLevel="1">
      <c r="A27" s="13"/>
      <c r="B27" s="23" t="s">
        <v>263</v>
      </c>
      <c r="C27" s="27" t="s">
        <v>264</v>
      </c>
    </row>
    <row r="28" spans="1:3" ht="33.75" outlineLevel="1">
      <c r="A28" s="13"/>
      <c r="B28" s="23" t="s">
        <v>265</v>
      </c>
      <c r="C28" s="27" t="s">
        <v>266</v>
      </c>
    </row>
    <row r="29" spans="1:3" ht="25.5" outlineLevel="1">
      <c r="A29" s="13"/>
      <c r="B29" s="23" t="s">
        <v>267</v>
      </c>
      <c r="C29" s="27" t="s">
        <v>268</v>
      </c>
    </row>
    <row r="30" spans="1:3" outlineLevel="1">
      <c r="A30" s="13"/>
      <c r="B30" s="23" t="s">
        <v>269</v>
      </c>
      <c r="C30" s="27" t="s">
        <v>270</v>
      </c>
    </row>
    <row r="31" spans="1:3" outlineLevel="1">
      <c r="A31" s="13"/>
      <c r="B31" s="28" t="s">
        <v>248</v>
      </c>
      <c r="C31" s="29" t="s">
        <v>271</v>
      </c>
    </row>
    <row r="32" spans="1:3" outlineLevel="1">
      <c r="A32" s="13"/>
      <c r="B32" s="28" t="s">
        <v>250</v>
      </c>
      <c r="C32" s="29" t="s">
        <v>253</v>
      </c>
    </row>
    <row r="33" spans="1:4" outlineLevel="1">
      <c r="A33" s="13"/>
      <c r="B33" s="28" t="s">
        <v>25</v>
      </c>
      <c r="C33" s="29" t="s">
        <v>253</v>
      </c>
    </row>
    <row r="34" spans="1:4" outlineLevel="1">
      <c r="A34" s="13"/>
      <c r="B34" s="28" t="s">
        <v>242</v>
      </c>
      <c r="C34" s="29" t="s">
        <v>253</v>
      </c>
      <c r="D34" s="14"/>
    </row>
    <row r="35" spans="1:4" ht="25.5" outlineLevel="1">
      <c r="A35" s="13"/>
      <c r="B35" s="28" t="s">
        <v>244</v>
      </c>
      <c r="C35" s="29" t="s">
        <v>253</v>
      </c>
      <c r="D35" s="14"/>
    </row>
    <row r="36" spans="1:4" outlineLevel="1">
      <c r="A36" s="13"/>
      <c r="B36" s="28" t="s">
        <v>246</v>
      </c>
      <c r="C36" s="29" t="s">
        <v>253</v>
      </c>
      <c r="D36" s="14"/>
    </row>
    <row r="37" spans="1:4" ht="13.5" thickBot="1">
      <c r="A37" s="252"/>
      <c r="B37" s="252"/>
      <c r="C37" s="252"/>
      <c r="D37" s="14"/>
    </row>
    <row r="38" spans="1:4" ht="13.5" thickBot="1">
      <c r="A38" s="16" t="s">
        <v>237</v>
      </c>
      <c r="B38" s="17" t="s">
        <v>272</v>
      </c>
      <c r="C38" s="18"/>
      <c r="D38" s="14"/>
    </row>
    <row r="39" spans="1:4" ht="13.5" outlineLevel="1" thickBot="1">
      <c r="A39" s="13"/>
      <c r="B39" s="19" t="s">
        <v>239</v>
      </c>
      <c r="C39" s="20" t="s">
        <v>240</v>
      </c>
      <c r="D39" s="14"/>
    </row>
    <row r="40" spans="1:4" ht="157.5" outlineLevel="1">
      <c r="A40" s="253"/>
      <c r="B40" s="21" t="s">
        <v>273</v>
      </c>
      <c r="C40" s="34" t="s">
        <v>274</v>
      </c>
      <c r="D40" s="14"/>
    </row>
    <row r="41" spans="1:4" ht="25.5" outlineLevel="1">
      <c r="A41" s="253"/>
      <c r="B41" s="23" t="s">
        <v>275</v>
      </c>
      <c r="C41" s="27" t="s">
        <v>276</v>
      </c>
      <c r="D41" s="14" t="s">
        <v>277</v>
      </c>
    </row>
    <row r="42" spans="1:4" outlineLevel="1">
      <c r="A42" s="253"/>
      <c r="B42" s="28" t="s">
        <v>248</v>
      </c>
      <c r="C42" s="29" t="s">
        <v>271</v>
      </c>
    </row>
    <row r="43" spans="1:4" outlineLevel="1">
      <c r="A43" s="253"/>
      <c r="B43" s="28" t="s">
        <v>250</v>
      </c>
      <c r="C43" s="29" t="s">
        <v>253</v>
      </c>
    </row>
    <row r="44" spans="1:4" outlineLevel="1">
      <c r="A44" s="253"/>
      <c r="B44" s="28" t="s">
        <v>25</v>
      </c>
      <c r="C44" s="29" t="s">
        <v>253</v>
      </c>
    </row>
    <row r="45" spans="1:4" outlineLevel="1">
      <c r="A45" s="253"/>
      <c r="B45" s="28" t="s">
        <v>242</v>
      </c>
      <c r="C45" s="29" t="s">
        <v>253</v>
      </c>
    </row>
    <row r="46" spans="1:4" ht="25.5" outlineLevel="1">
      <c r="A46" s="253"/>
      <c r="B46" s="28" t="s">
        <v>244</v>
      </c>
      <c r="C46" s="29" t="s">
        <v>253</v>
      </c>
    </row>
    <row r="47" spans="1:4" outlineLevel="1">
      <c r="A47" s="253"/>
      <c r="B47" s="28" t="s">
        <v>246</v>
      </c>
      <c r="C47" s="29" t="s">
        <v>253</v>
      </c>
    </row>
    <row r="48" spans="1:4">
      <c r="A48" s="13"/>
      <c r="B48" s="13"/>
      <c r="C48" s="13"/>
    </row>
  </sheetData>
  <mergeCells count="6">
    <mergeCell ref="A37:C37"/>
    <mergeCell ref="A40:A47"/>
    <mergeCell ref="A1:A2"/>
    <mergeCell ref="A6:A9"/>
    <mergeCell ref="A13:A18"/>
    <mergeCell ref="A19:C19"/>
  </mergeCells>
  <phoneticPr fontId="32"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8"/>
  <dimension ref="B1:H18"/>
  <sheetViews>
    <sheetView showGridLines="0" showRowColHeaders="0" workbookViewId="0"/>
  </sheetViews>
  <sheetFormatPr defaultColWidth="9.28515625" defaultRowHeight="12.7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6" t="s">
        <v>278</v>
      </c>
      <c r="C2" s="257"/>
      <c r="D2" s="258"/>
    </row>
    <row r="3" spans="2:8" ht="4.5" customHeight="1" thickBot="1">
      <c r="B3" s="108"/>
      <c r="C3" s="108"/>
      <c r="D3" s="109"/>
    </row>
    <row r="4" spans="2:8" ht="26.25" customHeight="1" thickTop="1" thickBot="1">
      <c r="B4" s="112" t="s">
        <v>172</v>
      </c>
      <c r="C4" s="110" t="s">
        <v>279</v>
      </c>
      <c r="D4" s="111" t="s">
        <v>280</v>
      </c>
      <c r="F4" s="259" t="s">
        <v>281</v>
      </c>
      <c r="G4" s="260"/>
      <c r="H4" s="261"/>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control shapeId="6145" r:id="rId3" name="CommandButton1"/>
  </controls>
</worksheet>
</file>

<file path=xl/worksheets/sheet6.xml><?xml version="1.0" encoding="utf-8"?>
<worksheet xmlns="http://schemas.openxmlformats.org/spreadsheetml/2006/main" xmlns:r="http://schemas.openxmlformats.org/officeDocument/2006/relationships">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2.7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5" thickBot="1"/>
    <row r="2" spans="2:7" ht="18.75" thickBot="1">
      <c r="B2" s="262" t="s">
        <v>282</v>
      </c>
      <c r="C2" s="263"/>
      <c r="D2" s="263"/>
      <c r="E2" s="263"/>
      <c r="F2" s="264"/>
    </row>
    <row r="4" spans="2:7" ht="15.75">
      <c r="B4" s="3" t="s">
        <v>283</v>
      </c>
      <c r="C4" s="3" t="s">
        <v>284</v>
      </c>
      <c r="D4" s="3" t="s">
        <v>174</v>
      </c>
      <c r="E4" s="3" t="s">
        <v>285</v>
      </c>
      <c r="F4" s="3" t="s">
        <v>286</v>
      </c>
    </row>
    <row r="5" spans="2:7" ht="25.5">
      <c r="B5" s="131">
        <v>6</v>
      </c>
      <c r="C5" s="163"/>
      <c r="D5" s="53" t="s">
        <v>287</v>
      </c>
      <c r="E5" s="8" t="s">
        <v>288</v>
      </c>
      <c r="F5" s="53" t="s">
        <v>289</v>
      </c>
      <c r="G5" s="4"/>
    </row>
    <row r="6" spans="2:7" ht="127.5">
      <c r="B6" s="131">
        <v>6.1</v>
      </c>
      <c r="C6" s="163" t="s">
        <v>290</v>
      </c>
      <c r="D6" s="53" t="s">
        <v>291</v>
      </c>
      <c r="E6" s="8" t="s">
        <v>288</v>
      </c>
      <c r="F6" s="53" t="s">
        <v>292</v>
      </c>
      <c r="G6" s="4"/>
    </row>
    <row r="7" spans="2:7" ht="293.25">
      <c r="B7" s="131">
        <v>7</v>
      </c>
      <c r="C7" s="163" t="s">
        <v>293</v>
      </c>
      <c r="D7" s="53" t="s">
        <v>291</v>
      </c>
      <c r="E7" s="8" t="s">
        <v>288</v>
      </c>
      <c r="F7" s="53" t="s">
        <v>294</v>
      </c>
      <c r="G7" s="4"/>
    </row>
    <row r="8" spans="2:7" ht="204">
      <c r="B8" s="131">
        <v>7.1</v>
      </c>
      <c r="C8" s="163" t="s">
        <v>295</v>
      </c>
      <c r="D8" s="53" t="s">
        <v>296</v>
      </c>
      <c r="E8" s="8" t="s">
        <v>288</v>
      </c>
      <c r="F8" s="53" t="s">
        <v>297</v>
      </c>
      <c r="G8" s="4"/>
    </row>
    <row r="9" spans="2:7" ht="12.75" customHeight="1">
      <c r="B9" s="131">
        <v>7.2</v>
      </c>
      <c r="C9" s="163">
        <v>39035</v>
      </c>
      <c r="D9" s="53" t="s">
        <v>296</v>
      </c>
      <c r="E9" s="8" t="s">
        <v>288</v>
      </c>
      <c r="F9" s="53" t="s">
        <v>298</v>
      </c>
      <c r="G9" s="4"/>
    </row>
    <row r="10" spans="2:7">
      <c r="B10" s="131">
        <v>7.3</v>
      </c>
      <c r="C10" s="163">
        <v>39219</v>
      </c>
      <c r="D10" s="53" t="s">
        <v>296</v>
      </c>
      <c r="E10" s="8" t="s">
        <v>288</v>
      </c>
      <c r="F10" s="53" t="s">
        <v>299</v>
      </c>
      <c r="G10" s="4"/>
    </row>
    <row r="11" spans="2:7" ht="25.5">
      <c r="B11" s="131">
        <v>7.4</v>
      </c>
      <c r="C11" s="163">
        <v>39237</v>
      </c>
      <c r="D11" s="53" t="s">
        <v>296</v>
      </c>
      <c r="E11" s="8" t="s">
        <v>288</v>
      </c>
      <c r="F11" s="53" t="s">
        <v>300</v>
      </c>
      <c r="G11" s="4"/>
    </row>
    <row r="12" spans="2:7" ht="89.25">
      <c r="B12" s="131">
        <v>8</v>
      </c>
      <c r="C12" s="163">
        <v>39308</v>
      </c>
      <c r="D12" s="53" t="s">
        <v>296</v>
      </c>
      <c r="E12" s="8" t="s">
        <v>288</v>
      </c>
      <c r="F12" s="53" t="s">
        <v>301</v>
      </c>
      <c r="G12" s="4"/>
    </row>
    <row r="13" spans="2:7" ht="25.5">
      <c r="B13" s="131">
        <v>8.1</v>
      </c>
      <c r="C13" s="163">
        <v>40003</v>
      </c>
      <c r="D13" s="53" t="s">
        <v>296</v>
      </c>
      <c r="E13" s="8" t="s">
        <v>302</v>
      </c>
      <c r="F13" s="53" t="s">
        <v>303</v>
      </c>
      <c r="G13" s="4"/>
    </row>
    <row r="14" spans="2:7" ht="204">
      <c r="B14" s="131">
        <v>8.1999999999999993</v>
      </c>
      <c r="C14" s="163">
        <v>40183</v>
      </c>
      <c r="D14" s="53" t="s">
        <v>304</v>
      </c>
      <c r="E14" s="8" t="s">
        <v>302</v>
      </c>
      <c r="F14" s="53" t="s">
        <v>305</v>
      </c>
      <c r="G14" s="4"/>
    </row>
    <row r="15" spans="2:7" ht="72.75" customHeight="1">
      <c r="B15" s="131">
        <v>9</v>
      </c>
      <c r="C15" s="163">
        <v>40683</v>
      </c>
      <c r="D15" s="53" t="s">
        <v>296</v>
      </c>
      <c r="E15" s="8" t="s">
        <v>302</v>
      </c>
      <c r="F15" s="53" t="s">
        <v>306</v>
      </c>
      <c r="G15" s="4"/>
    </row>
    <row r="16" spans="2:7" ht="38.25">
      <c r="B16" s="131" t="s">
        <v>307</v>
      </c>
      <c r="C16" s="163">
        <v>41725</v>
      </c>
      <c r="D16" s="53" t="s">
        <v>308</v>
      </c>
      <c r="E16" s="8" t="s">
        <v>302</v>
      </c>
      <c r="F16" s="53" t="s">
        <v>309</v>
      </c>
      <c r="G16" s="4"/>
    </row>
    <row r="17" spans="2:7" ht="63.75">
      <c r="B17" s="131">
        <v>10</v>
      </c>
      <c r="C17" s="163">
        <v>42039</v>
      </c>
      <c r="D17" s="53" t="s">
        <v>308</v>
      </c>
      <c r="E17" s="8" t="s">
        <v>302</v>
      </c>
      <c r="F17" s="138" t="s">
        <v>310</v>
      </c>
      <c r="G17" s="4"/>
    </row>
    <row r="18" spans="2:7" ht="38.25">
      <c r="B18" s="131" t="s">
        <v>311</v>
      </c>
      <c r="C18" s="163">
        <v>42310</v>
      </c>
      <c r="D18" s="53" t="s">
        <v>312</v>
      </c>
      <c r="E18" s="8" t="s">
        <v>302</v>
      </c>
      <c r="F18" s="53" t="s">
        <v>313</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19"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C6A1A9940B427468936EFF507B7730C" ma:contentTypeVersion="14" ma:contentTypeDescription="Create a new document." ma:contentTypeScope="" ma:versionID="5229fc54b671e52af94d3f4b605ff376">
  <xsd:schema xmlns:xsd="http://www.w3.org/2001/XMLSchema" xmlns:xs="http://www.w3.org/2001/XMLSchema" xmlns:p="http://schemas.microsoft.com/office/2006/metadata/properties" xmlns:ns2="8d8e488b-09ce-4de9-9514-5027d6e7bff7" xmlns:ns3="d84140b2-fa4e-4d34-b67a-e17350036e46" targetNamespace="http://schemas.microsoft.com/office/2006/metadata/properties" ma:root="true" ma:fieldsID="0683f4a0d9371b915de0cad5f1f8a8b1" ns2:_="" ns3:_="">
    <xsd:import namespace="8d8e488b-09ce-4de9-9514-5027d6e7bff7"/>
    <xsd:import namespace="d84140b2-fa4e-4d34-b67a-e17350036e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8e488b-09ce-4de9-9514-5027d6e7bff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84140b2-fa4e-4d34-b67a-e17350036e4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2fea2105-c8e4-4d50-959d-097c1e08b375}" ma:internalName="TaxCatchAll" ma:showField="CatchAllData" ma:web="d84140b2-fa4e-4d34-b67a-e17350036e4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84140b2-fa4e-4d34-b67a-e17350036e46" xsi:nil="true"/>
    <lcf76f155ced4ddcb4097134ff3c332f xmlns="8d8e488b-09ce-4de9-9514-5027d6e7bff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6669F0E9-569D-4E81-8C73-19241203B8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8e488b-09ce-4de9-9514-5027d6e7bff7"/>
    <ds:schemaRef ds:uri="d84140b2-fa4e-4d34-b67a-e17350036e4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138153F7-6F9F-449E-BF58-F895EB712A77}">
  <ds:schemaRefs>
    <ds:schemaRef ds:uri="http://schemas.microsoft.com/office/2006/metadata/properties"/>
    <ds:schemaRef ds:uri="http://schemas.microsoft.com/office/infopath/2007/PartnerControls"/>
    <ds:schemaRef ds:uri="d84140b2-fa4e-4d34-b67a-e17350036e46"/>
    <ds:schemaRef ds:uri="8d8e488b-09ce-4de9-9514-5027d6e7bff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Base/>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FSS</dc:creator>
  <cp:lastModifiedBy>SHISHRAM</cp:lastModifiedBy>
  <cp:revision/>
  <dcterms:created xsi:type="dcterms:W3CDTF">2006-11-14T05:53:19Z</dcterms:created>
  <dcterms:modified xsi:type="dcterms:W3CDTF">2022-12-10T10:39:36Z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0x0101003C6A1A9940B427468936EFF507B7730C</vt:lpwstr>
  </property>
  <property fmtid="{D5CDD505-2E9C-101B-9397-08002B2CF9AE}" pid="4" name="MediaServiceImageTags">
    <vt:lpwstr/>
  </property>
</Properties>
</file>